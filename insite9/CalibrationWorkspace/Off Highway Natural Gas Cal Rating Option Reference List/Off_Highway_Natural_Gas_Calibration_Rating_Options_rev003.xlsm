
<file path=[Content_Types].xml><?xml version="1.0" encoding="utf-8"?>
<Types xmlns="http://schemas.openxmlformats.org/package/2006/content-types">
  <Default Extension="bin" ContentType="application/vnd.ms-office.vbaProject"/>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6930" yWindow="255" windowWidth="13320" windowHeight="7560" tabRatio="597"/>
  </bookViews>
  <sheets>
    <sheet name="QSP_AAB Overview" sheetId="1" r:id="rId1"/>
    <sheet name="QSG Overview" sheetId="6" r:id="rId2"/>
    <sheet name="Release History" sheetId="73" r:id="rId3"/>
    <sheet name="Main" sheetId="8" r:id="rId4"/>
    <sheet name="QSP_AAB Structure Details" sheetId="3" r:id="rId5"/>
    <sheet name="558_Prod_PJ_Changes" sheetId="2" r:id="rId6"/>
    <sheet name="QSGCOMPAT" sheetId="87" r:id="rId7"/>
    <sheet name="AABCOMPAT" sheetId="86" r:id="rId8"/>
    <sheet name="QSPCOMPAT" sheetId="85" r:id="rId9"/>
    <sheet name="Compatibility Report" sheetId="5" r:id="rId10"/>
  </sheets>
  <functionGroups/>
  <definedNames>
    <definedName name="_xlnm._FilterDatabase" localSheetId="1" hidden="1">'QSG Overview'!$A$2:$S$146</definedName>
    <definedName name="_xlnm._FilterDatabase" localSheetId="0" hidden="1">'QSP_AAB Overview'!$A$2:$AH$302</definedName>
  </definedNames>
  <calcPr calcId="125725"/>
</workbook>
</file>

<file path=xl/calcChain.xml><?xml version="1.0" encoding="utf-8"?>
<calcChain xmlns="http://schemas.openxmlformats.org/spreadsheetml/2006/main">
  <c r="AA50" i="1"/>
  <c r="X50"/>
  <c r="AA49"/>
  <c r="X49"/>
  <c r="AA25"/>
  <c r="AA92"/>
  <c r="AA93"/>
  <c r="AA45"/>
  <c r="AA46"/>
  <c r="AA47"/>
  <c r="AA48"/>
  <c r="X92"/>
  <c r="X93"/>
  <c r="X45"/>
  <c r="X46"/>
  <c r="X47"/>
  <c r="X48"/>
  <c r="X25"/>
  <c r="AA125"/>
  <c r="AA91"/>
  <c r="X125"/>
  <c r="AA273"/>
  <c r="AA274"/>
  <c r="AA275"/>
  <c r="X273"/>
  <c r="X274"/>
  <c r="X275"/>
  <c r="S91"/>
  <c r="R91"/>
  <c r="X91"/>
  <c r="S298"/>
  <c r="R298"/>
  <c r="AA298"/>
  <c r="X298"/>
  <c r="S274"/>
  <c r="R274"/>
  <c r="S273"/>
  <c r="R273"/>
  <c r="AA90"/>
  <c r="AA89"/>
  <c r="X90"/>
  <c r="X89"/>
  <c r="S90"/>
  <c r="S89"/>
  <c r="S59"/>
  <c r="R90"/>
  <c r="R89"/>
  <c r="AA88"/>
  <c r="S88"/>
  <c r="R88"/>
  <c r="X88"/>
  <c r="AA272"/>
  <c r="X272"/>
  <c r="S272"/>
  <c r="S209"/>
  <c r="S198"/>
  <c r="S197"/>
  <c r="S185"/>
  <c r="R272"/>
  <c r="R209"/>
  <c r="AA271"/>
  <c r="AA270"/>
  <c r="X271"/>
  <c r="X270"/>
  <c r="S271"/>
  <c r="R271"/>
  <c r="S270"/>
  <c r="R270"/>
  <c r="AA269"/>
  <c r="X269"/>
  <c r="S269"/>
  <c r="R269"/>
  <c r="AA268"/>
  <c r="X268"/>
  <c r="S268"/>
  <c r="R268"/>
  <c r="S87"/>
  <c r="R87"/>
  <c r="S86"/>
  <c r="R86"/>
  <c r="X87"/>
  <c r="X86"/>
  <c r="AA87"/>
  <c r="AA86"/>
  <c r="S85"/>
  <c r="S84"/>
  <c r="S83"/>
  <c r="S82"/>
  <c r="S81"/>
  <c r="S80"/>
  <c r="S79"/>
  <c r="S78"/>
  <c r="S77"/>
  <c r="AA85"/>
  <c r="AA84"/>
  <c r="AA83"/>
  <c r="AA82"/>
  <c r="AA81"/>
  <c r="AA80"/>
  <c r="AA79"/>
  <c r="AA78"/>
  <c r="AA77"/>
  <c r="X85"/>
  <c r="X84"/>
  <c r="X83"/>
  <c r="X82"/>
  <c r="X81"/>
  <c r="X80"/>
  <c r="X79"/>
  <c r="X78"/>
  <c r="X77"/>
  <c r="R78"/>
  <c r="R79"/>
  <c r="R80"/>
  <c r="R81"/>
  <c r="R82"/>
  <c r="R83"/>
  <c r="R84"/>
  <c r="R77"/>
  <c r="R72"/>
  <c r="R85"/>
  <c r="AA19" l="1"/>
  <c r="AA20"/>
  <c r="AA21"/>
  <c r="AA22"/>
  <c r="AA23"/>
  <c r="AA24"/>
  <c r="X19"/>
  <c r="X20"/>
  <c r="X21"/>
  <c r="X22"/>
  <c r="X23"/>
  <c r="X24"/>
  <c r="S76"/>
  <c r="S19"/>
  <c r="S20"/>
  <c r="S21"/>
  <c r="S22"/>
  <c r="S23"/>
  <c r="S24"/>
  <c r="R20"/>
  <c r="R21"/>
  <c r="R22"/>
  <c r="R23"/>
  <c r="R24"/>
  <c r="R19"/>
  <c r="AA76"/>
  <c r="X76"/>
  <c r="R76"/>
  <c r="R74"/>
  <c r="AA267"/>
  <c r="X267"/>
  <c r="S267"/>
  <c r="S204"/>
  <c r="R267"/>
  <c r="AA266"/>
  <c r="X266"/>
  <c r="S266"/>
  <c r="S205"/>
  <c r="R266"/>
  <c r="AA265"/>
  <c r="X265"/>
  <c r="R265"/>
  <c r="AA264"/>
  <c r="X264"/>
  <c r="R264"/>
  <c r="AA263"/>
  <c r="X263"/>
  <c r="R263"/>
  <c r="X17"/>
  <c r="X18"/>
  <c r="X16"/>
  <c r="X15"/>
  <c r="AA44"/>
  <c r="X44"/>
  <c r="S44"/>
  <c r="R44"/>
  <c r="AA43"/>
  <c r="X43"/>
  <c r="S43"/>
  <c r="R43"/>
  <c r="AA42"/>
  <c r="X42"/>
  <c r="S42"/>
  <c r="R42"/>
  <c r="AA41"/>
  <c r="X41"/>
  <c r="S41"/>
  <c r="R41"/>
  <c r="S40"/>
  <c r="R40"/>
  <c r="S39"/>
  <c r="R39"/>
  <c r="S38"/>
  <c r="R38"/>
  <c r="S37"/>
  <c r="R37"/>
  <c r="S36"/>
  <c r="R36"/>
  <c r="S35"/>
  <c r="R35"/>
  <c r="S34"/>
  <c r="R34"/>
  <c r="S33"/>
  <c r="R33"/>
  <c r="S32"/>
  <c r="R32"/>
  <c r="AA31"/>
  <c r="X31"/>
  <c r="S31"/>
  <c r="R31"/>
  <c r="AA30"/>
  <c r="X30"/>
  <c r="S30"/>
  <c r="R30"/>
  <c r="R220" l="1"/>
  <c r="S220"/>
  <c r="X220"/>
  <c r="AA220"/>
  <c r="R221"/>
  <c r="S221"/>
  <c r="X221"/>
  <c r="AA221"/>
  <c r="R222"/>
  <c r="S222"/>
  <c r="X222"/>
  <c r="AA222"/>
  <c r="R223"/>
  <c r="S223"/>
  <c r="X223"/>
  <c r="AA223"/>
  <c r="R224"/>
  <c r="S224"/>
  <c r="X224"/>
  <c r="AA224"/>
  <c r="R225"/>
  <c r="S225"/>
  <c r="X225"/>
  <c r="AA225"/>
  <c r="R226"/>
  <c r="S226"/>
  <c r="X226"/>
  <c r="AA226"/>
  <c r="R227"/>
  <c r="S227"/>
  <c r="X227"/>
  <c r="AA227"/>
  <c r="R228"/>
  <c r="S228"/>
  <c r="X228"/>
  <c r="AA228"/>
  <c r="R229"/>
  <c r="S229"/>
  <c r="X229"/>
  <c r="AA229"/>
  <c r="R230"/>
  <c r="S230"/>
  <c r="X230"/>
  <c r="AA230"/>
  <c r="R231"/>
  <c r="S231"/>
  <c r="X231"/>
  <c r="AA231"/>
  <c r="R232"/>
  <c r="S232"/>
  <c r="X232"/>
  <c r="AA232"/>
  <c r="R233"/>
  <c r="S233"/>
  <c r="X233"/>
  <c r="AA233"/>
  <c r="R234"/>
  <c r="S234"/>
  <c r="X234"/>
  <c r="AA234"/>
  <c r="R235"/>
  <c r="S235"/>
  <c r="X235"/>
  <c r="AA235"/>
  <c r="R236"/>
  <c r="S236"/>
  <c r="X236"/>
  <c r="AA236"/>
  <c r="R237"/>
  <c r="S237"/>
  <c r="X237"/>
  <c r="AA237"/>
  <c r="R238"/>
  <c r="S238"/>
  <c r="X238"/>
  <c r="AA238"/>
  <c r="R239"/>
  <c r="S239"/>
  <c r="X239"/>
  <c r="AA239"/>
  <c r="R240"/>
  <c r="S240"/>
  <c r="X240"/>
  <c r="AA240"/>
  <c r="R241"/>
  <c r="S241"/>
  <c r="X241"/>
  <c r="AA241"/>
  <c r="R242"/>
  <c r="S242"/>
  <c r="X242"/>
  <c r="AA242"/>
  <c r="R243"/>
  <c r="S243"/>
  <c r="X243"/>
  <c r="AA243"/>
  <c r="R244"/>
  <c r="S244"/>
  <c r="X244"/>
  <c r="AA244"/>
  <c r="R245"/>
  <c r="S245"/>
  <c r="X245"/>
  <c r="AA245"/>
  <c r="R246"/>
  <c r="S246"/>
  <c r="X246"/>
  <c r="AA246"/>
  <c r="R247"/>
  <c r="S247"/>
  <c r="X247"/>
  <c r="AA247"/>
  <c r="R248"/>
  <c r="S248"/>
  <c r="X248"/>
  <c r="AA248"/>
  <c r="R249"/>
  <c r="S249"/>
  <c r="X249"/>
  <c r="AA249"/>
  <c r="R250"/>
  <c r="S250"/>
  <c r="X250"/>
  <c r="AA250"/>
  <c r="R251"/>
  <c r="S251"/>
  <c r="X251"/>
  <c r="AA251"/>
  <c r="R252"/>
  <c r="S252"/>
  <c r="X252"/>
  <c r="AA252"/>
  <c r="R253"/>
  <c r="S253"/>
  <c r="X253"/>
  <c r="AA253"/>
  <c r="R254"/>
  <c r="S254"/>
  <c r="X254"/>
  <c r="AA254"/>
  <c r="R255"/>
  <c r="S255"/>
  <c r="X255"/>
  <c r="AA255"/>
  <c r="R256"/>
  <c r="S256"/>
  <c r="X256"/>
  <c r="AA256"/>
  <c r="R257"/>
  <c r="S257"/>
  <c r="X257"/>
  <c r="AA257"/>
  <c r="R258"/>
  <c r="S258"/>
  <c r="X258"/>
  <c r="AA258"/>
  <c r="R259"/>
  <c r="S259"/>
  <c r="X259"/>
  <c r="AA259"/>
  <c r="R260"/>
  <c r="S260"/>
  <c r="X260"/>
  <c r="AA260"/>
  <c r="R261"/>
  <c r="S261"/>
  <c r="X261"/>
  <c r="AA261"/>
  <c r="R262"/>
  <c r="S262"/>
  <c r="X262"/>
  <c r="AA262"/>
  <c r="AA96"/>
  <c r="AA97"/>
  <c r="AA98"/>
  <c r="AA99"/>
  <c r="AA100"/>
  <c r="AA101"/>
  <c r="AA102"/>
  <c r="AA103"/>
  <c r="AA104"/>
  <c r="AA105"/>
  <c r="AA106"/>
  <c r="AA107"/>
  <c r="AA108"/>
  <c r="AA109"/>
  <c r="AA110"/>
  <c r="AA111"/>
  <c r="AA112"/>
  <c r="AA113"/>
  <c r="AA114"/>
  <c r="AA115"/>
  <c r="AA116"/>
  <c r="AA117"/>
  <c r="AA118"/>
  <c r="AA119"/>
  <c r="AA120"/>
  <c r="AA121"/>
  <c r="AA122"/>
  <c r="AA123"/>
  <c r="AA124"/>
  <c r="X96"/>
  <c r="X97"/>
  <c r="X98"/>
  <c r="X99"/>
  <c r="X100"/>
  <c r="X101"/>
  <c r="X102"/>
  <c r="X103"/>
  <c r="X104"/>
  <c r="X105"/>
  <c r="X106"/>
  <c r="X107"/>
  <c r="X108"/>
  <c r="X109"/>
  <c r="X110"/>
  <c r="X111"/>
  <c r="X112"/>
  <c r="X113"/>
  <c r="X114"/>
  <c r="X115"/>
  <c r="X116"/>
  <c r="X117"/>
  <c r="X118"/>
  <c r="X119"/>
  <c r="X120"/>
  <c r="X121"/>
  <c r="X122"/>
  <c r="X123"/>
  <c r="X124"/>
  <c r="AA95"/>
  <c r="X95"/>
  <c r="AA94"/>
  <c r="X94"/>
  <c r="S292"/>
  <c r="R292"/>
  <c r="AA219"/>
  <c r="X219"/>
  <c r="S219"/>
  <c r="R219"/>
  <c r="AA218"/>
  <c r="X218"/>
  <c r="S218"/>
  <c r="R218"/>
  <c r="AA217"/>
  <c r="X217"/>
  <c r="S217"/>
  <c r="R217"/>
  <c r="AA216"/>
  <c r="X216"/>
  <c r="S216"/>
  <c r="R216"/>
  <c r="AA215"/>
  <c r="X215"/>
  <c r="R215"/>
  <c r="AA18"/>
  <c r="R18"/>
  <c r="AA17"/>
  <c r="R17"/>
  <c r="AA16"/>
  <c r="R16"/>
  <c r="AA15"/>
  <c r="R15"/>
  <c r="AA14"/>
  <c r="X14"/>
  <c r="R14"/>
  <c r="AA13"/>
  <c r="X13"/>
  <c r="R13"/>
  <c r="AA12"/>
  <c r="X12"/>
  <c r="R12"/>
  <c r="AA11"/>
  <c r="X11"/>
  <c r="R11"/>
  <c r="AA10"/>
  <c r="X10"/>
  <c r="R10"/>
  <c r="AA9"/>
  <c r="X9"/>
  <c r="R9"/>
  <c r="AA8"/>
  <c r="X8"/>
  <c r="R8"/>
  <c r="AA7"/>
  <c r="X7"/>
  <c r="R7"/>
  <c r="AA6"/>
  <c r="X6"/>
  <c r="R6"/>
  <c r="AA5"/>
  <c r="X5"/>
  <c r="R5"/>
  <c r="AA4"/>
  <c r="X4"/>
  <c r="R4"/>
  <c r="AA3"/>
  <c r="X3"/>
  <c r="R3"/>
  <c r="AA75"/>
  <c r="X75"/>
  <c r="AA74"/>
  <c r="X74"/>
  <c r="AA73"/>
  <c r="X73"/>
  <c r="AA72"/>
  <c r="X72"/>
  <c r="AA71"/>
  <c r="X71"/>
  <c r="AA68"/>
  <c r="X68"/>
  <c r="R67"/>
  <c r="R66"/>
  <c r="R65"/>
  <c r="R64"/>
  <c r="R63"/>
  <c r="R62"/>
  <c r="R61"/>
  <c r="R60"/>
  <c r="AA59"/>
  <c r="X59"/>
  <c r="R59"/>
  <c r="AA58"/>
  <c r="X58"/>
  <c r="R58"/>
  <c r="R57"/>
  <c r="AA56"/>
  <c r="X56"/>
  <c r="R56"/>
  <c r="R55"/>
  <c r="R54"/>
  <c r="R53"/>
  <c r="R52"/>
  <c r="R51"/>
  <c r="AA214"/>
  <c r="X214"/>
  <c r="R214"/>
  <c r="AA213"/>
  <c r="X213"/>
  <c r="R213"/>
  <c r="AA212"/>
  <c r="X212"/>
  <c r="R212"/>
  <c r="AA211"/>
  <c r="X211"/>
  <c r="R211"/>
  <c r="AA210"/>
  <c r="X210"/>
  <c r="R210"/>
  <c r="AA209"/>
  <c r="X209"/>
  <c r="AA208"/>
  <c r="X208"/>
  <c r="R208"/>
  <c r="AA207"/>
  <c r="X207"/>
  <c r="R207"/>
  <c r="AA206"/>
  <c r="X206"/>
  <c r="R206"/>
  <c r="AA205"/>
  <c r="X205"/>
  <c r="R205"/>
  <c r="AA204"/>
  <c r="X204"/>
  <c r="R204"/>
  <c r="AA203"/>
  <c r="X203"/>
  <c r="R203"/>
  <c r="AA202"/>
  <c r="X202"/>
  <c r="R202"/>
  <c r="AA201"/>
  <c r="X201"/>
  <c r="R201"/>
  <c r="AA200"/>
  <c r="X200"/>
  <c r="R200"/>
  <c r="AA199"/>
  <c r="X199"/>
  <c r="R199"/>
  <c r="AA198"/>
  <c r="X198"/>
  <c r="R198"/>
  <c r="AA197"/>
  <c r="X197"/>
  <c r="R197"/>
  <c r="AA196"/>
  <c r="X196"/>
  <c r="R196"/>
  <c r="AA195"/>
  <c r="X195"/>
  <c r="R195"/>
  <c r="AA194"/>
  <c r="X194"/>
  <c r="R194"/>
  <c r="AA193"/>
  <c r="X193"/>
  <c r="R193"/>
  <c r="AA192"/>
  <c r="X192"/>
  <c r="R192"/>
  <c r="AA191"/>
  <c r="X191"/>
  <c r="R191"/>
  <c r="AA190"/>
  <c r="X190"/>
  <c r="R190"/>
  <c r="AA189"/>
  <c r="X189"/>
  <c r="R189"/>
  <c r="AA188"/>
  <c r="X188"/>
  <c r="R188"/>
  <c r="AA187"/>
  <c r="X187"/>
  <c r="R187"/>
  <c r="AA186"/>
  <c r="X186"/>
  <c r="R186"/>
  <c r="AA185"/>
  <c r="X185"/>
  <c r="R185"/>
  <c r="AA184"/>
  <c r="X184"/>
  <c r="R184"/>
  <c r="AA183"/>
  <c r="X183"/>
  <c r="R183"/>
  <c r="AA182"/>
  <c r="X182"/>
  <c r="R182"/>
  <c r="AA181"/>
  <c r="X181"/>
  <c r="R181"/>
  <c r="AA180"/>
  <c r="X180"/>
  <c r="R180"/>
  <c r="AA179"/>
  <c r="X179"/>
  <c r="R179"/>
  <c r="AA178"/>
  <c r="X178"/>
  <c r="R178"/>
  <c r="AA177"/>
  <c r="X177"/>
  <c r="S177"/>
  <c r="R177"/>
  <c r="S176"/>
  <c r="R176"/>
  <c r="S175"/>
  <c r="R175"/>
  <c r="S174"/>
  <c r="R174"/>
  <c r="S173"/>
  <c r="R173"/>
  <c r="S172"/>
  <c r="R172"/>
  <c r="S171"/>
  <c r="R171"/>
  <c r="S170"/>
  <c r="R170"/>
  <c r="S169"/>
  <c r="R169"/>
  <c r="S168"/>
  <c r="R168"/>
  <c r="S167"/>
  <c r="R167"/>
  <c r="S166"/>
  <c r="R166"/>
  <c r="S165"/>
  <c r="R165"/>
  <c r="S164"/>
  <c r="R164"/>
  <c r="S163"/>
  <c r="R163"/>
  <c r="S162"/>
  <c r="R162"/>
  <c r="S161"/>
  <c r="R161"/>
  <c r="S160"/>
  <c r="R160"/>
  <c r="AA159"/>
  <c r="X159"/>
  <c r="S159"/>
  <c r="R159"/>
  <c r="AA158"/>
  <c r="X158"/>
  <c r="S158"/>
  <c r="R158"/>
  <c r="AA157"/>
  <c r="X157"/>
  <c r="S157"/>
  <c r="R157"/>
  <c r="AA156"/>
  <c r="X156"/>
  <c r="S156"/>
  <c r="R156"/>
  <c r="AA155"/>
  <c r="X155"/>
  <c r="S155"/>
  <c r="R155"/>
  <c r="AA154"/>
  <c r="X154"/>
  <c r="S154"/>
  <c r="R154"/>
  <c r="AA153"/>
  <c r="X153"/>
  <c r="S153"/>
  <c r="R153"/>
  <c r="AA152"/>
  <c r="X152"/>
  <c r="S152"/>
  <c r="R152"/>
  <c r="AA151"/>
  <c r="X151"/>
  <c r="S151"/>
  <c r="R151"/>
  <c r="AA150"/>
  <c r="X150"/>
  <c r="S150"/>
  <c r="R150"/>
  <c r="AA149"/>
  <c r="X149"/>
  <c r="S149"/>
  <c r="R149"/>
  <c r="AA148"/>
  <c r="X148"/>
  <c r="S148"/>
  <c r="R148"/>
  <c r="AA147"/>
  <c r="X147"/>
  <c r="S147"/>
  <c r="R147"/>
  <c r="AA146"/>
  <c r="X146"/>
  <c r="S146"/>
  <c r="R146"/>
  <c r="AA145"/>
  <c r="X145"/>
  <c r="S145"/>
  <c r="R145"/>
  <c r="AA144"/>
  <c r="X144"/>
  <c r="S144"/>
  <c r="R144"/>
  <c r="AA143"/>
  <c r="X143"/>
  <c r="S143"/>
  <c r="R143"/>
  <c r="S142"/>
  <c r="R142"/>
  <c r="S141"/>
  <c r="R141"/>
  <c r="S140"/>
  <c r="R140"/>
  <c r="S139"/>
  <c r="R139"/>
  <c r="S138"/>
  <c r="R138"/>
  <c r="S137"/>
  <c r="R137"/>
  <c r="S136"/>
  <c r="R136"/>
  <c r="S135"/>
  <c r="R135"/>
  <c r="S134"/>
  <c r="R134"/>
  <c r="S133"/>
  <c r="R133"/>
  <c r="S132"/>
  <c r="R132"/>
  <c r="S131"/>
  <c r="R131"/>
  <c r="S130"/>
  <c r="R130"/>
  <c r="S129"/>
  <c r="R129"/>
  <c r="S128"/>
  <c r="R128"/>
  <c r="S127"/>
  <c r="R127"/>
  <c r="S126"/>
  <c r="R126"/>
  <c r="AA297"/>
  <c r="X297"/>
  <c r="S297"/>
  <c r="R297"/>
  <c r="AA296"/>
  <c r="X296"/>
  <c r="S296"/>
  <c r="R296"/>
  <c r="AA295"/>
  <c r="X295"/>
  <c r="S295"/>
  <c r="R295"/>
  <c r="AA294"/>
  <c r="X294"/>
  <c r="S294"/>
  <c r="R294"/>
  <c r="R291"/>
  <c r="R290"/>
  <c r="R289"/>
  <c r="R288"/>
  <c r="S287"/>
  <c r="R287"/>
  <c r="S286"/>
  <c r="R286"/>
  <c r="S285"/>
  <c r="R285"/>
  <c r="S284"/>
  <c r="R284"/>
  <c r="S283"/>
  <c r="R283"/>
  <c r="S282"/>
  <c r="R282"/>
  <c r="S281"/>
  <c r="R281"/>
  <c r="S280"/>
  <c r="R280"/>
  <c r="S279"/>
  <c r="R279"/>
  <c r="S278"/>
  <c r="R278"/>
  <c r="S277"/>
  <c r="R277"/>
  <c r="S276"/>
  <c r="R276"/>
</calcChain>
</file>

<file path=xl/comments1.xml><?xml version="1.0" encoding="utf-8"?>
<comments xmlns="http://schemas.openxmlformats.org/spreadsheetml/2006/main">
  <authors>
    <author>Varghese Kutty</author>
  </authors>
  <commentList>
    <comment ref="F182" authorId="0">
      <text>
        <r>
          <rPr>
            <b/>
            <sz val="9"/>
            <color indexed="81"/>
            <rFont val="Tahoma"/>
            <family val="2"/>
          </rPr>
          <t>Varghese Kutty:</t>
        </r>
        <r>
          <rPr>
            <sz val="9"/>
            <color indexed="81"/>
            <rFont val="Tahoma"/>
            <family val="2"/>
          </rPr>
          <t xml:space="preserve">
Check PJ option and FR option once</t>
        </r>
      </text>
    </comment>
  </commentList>
</comments>
</file>

<file path=xl/sharedStrings.xml><?xml version="1.0" encoding="utf-8"?>
<sst xmlns="http://schemas.openxmlformats.org/spreadsheetml/2006/main" count="9136" uniqueCount="2438">
  <si>
    <t>PCC3300</t>
  </si>
  <si>
    <t>QSV91, 2000kWe, 60Hz, 1514rpm &amp; GearBox, 12.5CR, 92C HT, 45C LT
     0.7g/Hp-hr NOx, 75MN
     1.0g/Hp-hr NOx, 78MN</t>
  </si>
  <si>
    <t>QSV91, 2000kWe, 50Hz, 1500rpm, 12.5CR, 92C HT
     40C LT*, 350mg/Nm3 NOx, 70MN
     40C LT*, 500mg/Nm3 NOx, 73MN
     50C LT*, 500mg/Nm3 NOx, 80MN
*CPGK/ESB to be sure to sort nominal LT temperature control target via electronically controlled thermostat system</t>
  </si>
  <si>
    <t>QSV91, 2000kWe, 50Hz, 1500rpm, 12.5CR, 92C HT, 50C LT
     250mg/Nm3 NOx, 75MN</t>
  </si>
  <si>
    <t>QSV91, 2000kWe, 60Hz, 1514rpm &amp; GearBox, 12.5CR, 92C HT, 50C LT
     0.5g/Hp-hr NOx, 76MN</t>
  </si>
  <si>
    <t>QSK60 HiEff, 1400kWe, 50Hz, 1500rpm, 12.7CR, 90C HT, 40C LT, 20deg
     500mg/Nm3 NOx, 72MN</t>
  </si>
  <si>
    <t>QSK60 HiEff, 1400kWe, 50Hz, 1500rpm, 12.7CR, 90C HT, 40C LT, 18deg
     250mg/Nm3 NOx, 64MN
     350mg/Nm3 NOx, 66MN
     500mg/Nm3 NOx, 68MN</t>
  </si>
  <si>
    <t>QSK60 HiEff, 1000kWe, 60Hz, 1200rpm, 12.7CR, 90C HT, 40C LT, 20deg
     1.0g/Hp-hr NOx, 72MN</t>
  </si>
  <si>
    <t>QSK60 HiEff, 1000kWe, 60Hz, 1200rpm, 12.7CR, 90C HT, 40C LT, 18deg
     0.5g/Hp-hr NOx, 62MN
     0.77g/Hp-hr NOx, 64MN
     1.0g/Hp-hr NOx, 68MN</t>
  </si>
  <si>
    <t>QSK60 HiEff, 1100kWe, 60Hz, 1200rpm, 12.7CR, 90C HT, 40C LT, 20deg
     1.0g/Hp-hr NOx, 82MN</t>
  </si>
  <si>
    <t>QSK60 HiEff, 1100kWe, 60Hz, 1200rpm, 12.7CR, 90C HT, 40C LT, 18deg
     0.5g/Hp-hr NOx, 70MN
     0.7g/Hp-hr NOx, 71MN
     1.0g/Hp-hr NOx, 76MN</t>
  </si>
  <si>
    <t>PCC3100, HMI420</t>
  </si>
  <si>
    <t>QSV91, 2040kWe, 50Hz, 1500rpm, 12.5CR, 90C HT
     40C LT*, 500mg/Nm3 NOx, 73MN
     50C LT*, 500mg/Nm3 NOx, 80MN
*CPGK/ESB to be sure to sort nominal LT temperature control target via electronically controlled thermostat system</t>
  </si>
  <si>
    <t>Engine</t>
  </si>
  <si>
    <t>SC07741</t>
  </si>
  <si>
    <t>SC07831</t>
  </si>
  <si>
    <t>SC07834</t>
  </si>
  <si>
    <t>SC07835</t>
  </si>
  <si>
    <t>SC07823</t>
  </si>
  <si>
    <t>SC07836</t>
  </si>
  <si>
    <t>SC07824</t>
  </si>
  <si>
    <t>SC07837</t>
  </si>
  <si>
    <t>SC07838</t>
  </si>
  <si>
    <t>DO07727</t>
  </si>
  <si>
    <t>DO07726</t>
  </si>
  <si>
    <t>DO07019</t>
  </si>
  <si>
    <t>DO07021</t>
  </si>
  <si>
    <t>DO07022</t>
  </si>
  <si>
    <t>DO07023</t>
  </si>
  <si>
    <t>DO07024</t>
  </si>
  <si>
    <t>DO07025</t>
  </si>
  <si>
    <t>FR07276</t>
  </si>
  <si>
    <t>FR07281</t>
  </si>
  <si>
    <t>FR07296</t>
  </si>
  <si>
    <t>FR07297</t>
  </si>
  <si>
    <t>FR07306</t>
  </si>
  <si>
    <t>SC Option</t>
  </si>
  <si>
    <t>DO Option</t>
  </si>
  <si>
    <t>FR Option</t>
  </si>
  <si>
    <t>Rating Info</t>
  </si>
  <si>
    <t>PJ Option</t>
  </si>
  <si>
    <t>EJR</t>
  </si>
  <si>
    <t>ER</t>
  </si>
  <si>
    <t>kg09073-32</t>
  </si>
  <si>
    <t>CPIF</t>
  </si>
  <si>
    <t>PPIF</t>
  </si>
  <si>
    <t>yes</t>
  </si>
  <si>
    <t>SC60424</t>
  </si>
  <si>
    <t>SC60425</t>
  </si>
  <si>
    <t>SC60566</t>
  </si>
  <si>
    <t>SC60567</t>
  </si>
  <si>
    <t>DO06584</t>
  </si>
  <si>
    <t>DO06702</t>
  </si>
  <si>
    <t>DO06703</t>
  </si>
  <si>
    <t>DO06704</t>
  </si>
  <si>
    <t>FR06648</t>
  </si>
  <si>
    <t>FR06649</t>
  </si>
  <si>
    <t>QSK60 HiSurf 50Hz</t>
  </si>
  <si>
    <t>SC60205</t>
  </si>
  <si>
    <t>SC60206</t>
  </si>
  <si>
    <t>FR06534</t>
  </si>
  <si>
    <t>FR06535</t>
  </si>
  <si>
    <t>SC60249</t>
  </si>
  <si>
    <t>SC60250</t>
  </si>
  <si>
    <t>FR06532</t>
  </si>
  <si>
    <t>FR06533</t>
  </si>
  <si>
    <t>SC60689</t>
  </si>
  <si>
    <t>SC60690</t>
  </si>
  <si>
    <t>SC60691</t>
  </si>
  <si>
    <t>SC60692</t>
  </si>
  <si>
    <t>QSK60 HiSurf 60Hz</t>
  </si>
  <si>
    <t>no</t>
  </si>
  <si>
    <t>?</t>
  </si>
  <si>
    <t>QSK60 Surf</t>
  </si>
  <si>
    <t>092001-803</t>
  </si>
  <si>
    <t>yes,
effective
@DAV
04Jan10</t>
  </si>
  <si>
    <t>QSV91ph2 2MW</t>
  </si>
  <si>
    <t>FR07309</t>
  </si>
  <si>
    <t>FR07310</t>
  </si>
  <si>
    <t>FR07311</t>
  </si>
  <si>
    <t>FR07312</t>
  </si>
  <si>
    <t>FR07313</t>
  </si>
  <si>
    <t>FR07314</t>
  </si>
  <si>
    <t>FR07315</t>
  </si>
  <si>
    <t>FR07316</t>
  </si>
  <si>
    <t>FR07317</t>
  </si>
  <si>
    <t>FR07318</t>
  </si>
  <si>
    <t>FR07319</t>
  </si>
  <si>
    <t>FR07320</t>
  </si>
  <si>
    <t>FR07321</t>
  </si>
  <si>
    <t>FR07322</t>
  </si>
  <si>
    <t>FR07323</t>
  </si>
  <si>
    <t>FR07324</t>
  </si>
  <si>
    <t>FR07325</t>
  </si>
  <si>
    <t>DO07028</t>
  </si>
  <si>
    <t>SC60740</t>
  </si>
  <si>
    <t>SC60741</t>
  </si>
  <si>
    <t>SC60742</t>
  </si>
  <si>
    <t>SC60743</t>
  </si>
  <si>
    <t>SC60744</t>
  </si>
  <si>
    <r>
      <t xml:space="preserve">Target
EJR
Submit
mid-Jan'10
X
Still in Process 09Feb10
</t>
    </r>
    <r>
      <rPr>
        <sz val="10"/>
        <rFont val="Arial"/>
        <family val="2"/>
      </rPr>
      <t>EJRs in Processing as of 16Apr10:
KG_9022-27_
PCC3100_
HMI220_Redux_wout_LowBTU
KG_9022-28_
PCC3100_
HMI220_Redux_LowBTU_Only
KG_9022-29_
PCC3300
KG_9022-33_
PCC3100_
HMI420</t>
    </r>
  </si>
  <si>
    <r>
      <t>Target
EJR
Submit
mid-Feb'10
X
Still in Process 09Feb10</t>
    </r>
    <r>
      <rPr>
        <sz val="10"/>
        <rFont val="Arial"/>
        <family val="2"/>
      </rPr>
      <t xml:space="preserve">
EJRs are likely to be submitted week of 19Apr2010</t>
    </r>
  </si>
  <si>
    <r>
      <t xml:space="preserve">GQSK60-G8, 1400kW, 60Hz, 1953BHP@1800RPM, 11.4CR, 18deg timing
     </t>
    </r>
    <r>
      <rPr>
        <u/>
        <sz val="10"/>
        <rFont val="Arial"/>
        <family val="2"/>
      </rPr>
      <t>EC6116</t>
    </r>
    <r>
      <rPr>
        <sz val="10"/>
        <rFont val="Arial"/>
        <family val="2"/>
      </rPr>
      <t xml:space="preserve"> 90C HT, </t>
    </r>
    <r>
      <rPr>
        <u/>
        <sz val="10"/>
        <rFont val="Arial"/>
        <family val="2"/>
      </rPr>
      <t>TB6072</t>
    </r>
    <r>
      <rPr>
        <sz val="10"/>
        <rFont val="Arial"/>
        <family val="2"/>
      </rPr>
      <t xml:space="preserve"> 50C LT, 0.7g/Hp-hr NOx, 75MN
     </t>
    </r>
    <r>
      <rPr>
        <u/>
        <sz val="10"/>
        <rFont val="Arial"/>
        <family val="2"/>
      </rPr>
      <t>EC6116</t>
    </r>
    <r>
      <rPr>
        <sz val="10"/>
        <rFont val="Arial"/>
        <family val="2"/>
      </rPr>
      <t xml:space="preserve"> 90C HT, </t>
    </r>
    <r>
      <rPr>
        <u/>
        <sz val="10"/>
        <rFont val="Arial"/>
        <family val="2"/>
      </rPr>
      <t>TB6072</t>
    </r>
    <r>
      <rPr>
        <sz val="10"/>
        <rFont val="Arial"/>
        <family val="2"/>
      </rPr>
      <t xml:space="preserve"> 50C LT, 1.0g/Hp-hr NOx, 78MN</t>
    </r>
  </si>
  <si>
    <t>PCC3100, HMI220</t>
  </si>
  <si>
    <t>SC60302</t>
  </si>
  <si>
    <t>SC60303</t>
  </si>
  <si>
    <t>SC60304</t>
  </si>
  <si>
    <t>SC60305</t>
  </si>
  <si>
    <t>SC60306</t>
  </si>
  <si>
    <t>Target
EJR
Submit
mid-Feb'10
X
Still in Process 09Feb10
EJRs are likely to be submitted week of 19Apr2010</t>
  </si>
  <si>
    <t>SC60735</t>
  </si>
  <si>
    <t>DO06888</t>
  </si>
  <si>
    <t>SC60736</t>
  </si>
  <si>
    <t>SC60737</t>
  </si>
  <si>
    <t>SC60738</t>
  </si>
  <si>
    <t>SC60739</t>
  </si>
  <si>
    <t>DO06447</t>
  </si>
  <si>
    <t>DO06448</t>
  </si>
  <si>
    <t>DO06446</t>
  </si>
  <si>
    <t>SC07781</t>
  </si>
  <si>
    <t>SC07782</t>
  </si>
  <si>
    <t>SC07785</t>
  </si>
  <si>
    <t>SC07786</t>
  </si>
  <si>
    <t>SC07787</t>
  </si>
  <si>
    <t>SC07788</t>
  </si>
  <si>
    <t>SC07791</t>
  </si>
  <si>
    <t>SC07793</t>
  </si>
  <si>
    <t>SC07796</t>
  </si>
  <si>
    <t>SC07812</t>
  </si>
  <si>
    <t>SC07817</t>
  </si>
  <si>
    <t>SC07819</t>
  </si>
  <si>
    <t>SC07820</t>
  </si>
  <si>
    <t>SC07826</t>
  </si>
  <si>
    <t>SC07827</t>
  </si>
  <si>
    <t>SC07829</t>
  </si>
  <si>
    <t>SC07830</t>
  </si>
  <si>
    <t>FR07257</t>
  </si>
  <si>
    <t>FR07253</t>
  </si>
  <si>
    <t>FR07270</t>
  </si>
  <si>
    <t>FR07252</t>
  </si>
  <si>
    <t>FR07140</t>
  </si>
  <si>
    <t>FR07237</t>
  </si>
  <si>
    <t>FR07273</t>
  </si>
  <si>
    <t>FR07231</t>
  </si>
  <si>
    <t>FR07262</t>
  </si>
  <si>
    <t>FR07285</t>
  </si>
  <si>
    <t>FR07290</t>
  </si>
  <si>
    <t>FR07292</t>
  </si>
  <si>
    <t>FR07293</t>
  </si>
  <si>
    <t>FR07266</t>
  </si>
  <si>
    <t>FR07278</t>
  </si>
  <si>
    <t>FR07301</t>
  </si>
  <si>
    <t>FR07302</t>
  </si>
  <si>
    <t>DO06835</t>
  </si>
  <si>
    <t>DO06834</t>
  </si>
  <si>
    <t>DO06361</t>
  </si>
  <si>
    <t>DO06836</t>
  </si>
  <si>
    <t>DO06837</t>
  </si>
  <si>
    <t>DO07063</t>
  </si>
  <si>
    <t>DO07064</t>
  </si>
  <si>
    <t>DO07065</t>
  </si>
  <si>
    <t>DO07066</t>
  </si>
  <si>
    <t>DO07067</t>
  </si>
  <si>
    <t>DO07068</t>
  </si>
  <si>
    <t>DO07069</t>
  </si>
  <si>
    <t>DO07070</t>
  </si>
  <si>
    <t>DO07071</t>
  </si>
  <si>
    <t>DO07072</t>
  </si>
  <si>
    <t>DO07073</t>
  </si>
  <si>
    <t>DO07074</t>
  </si>
  <si>
    <t>DO07075</t>
  </si>
  <si>
    <t>DO07076</t>
  </si>
  <si>
    <t>DO07077</t>
  </si>
  <si>
    <t>DO07078</t>
  </si>
  <si>
    <t>DO07079</t>
  </si>
  <si>
    <t>DO07062</t>
  </si>
  <si>
    <t>DO07030</t>
  </si>
  <si>
    <t>DO07033</t>
  </si>
  <si>
    <t>DO07034</t>
  </si>
  <si>
    <t>DO07035</t>
  </si>
  <si>
    <t>DO07036</t>
  </si>
  <si>
    <t>DO07038</t>
  </si>
  <si>
    <t>DO07040</t>
  </si>
  <si>
    <t>DO07043</t>
  </si>
  <si>
    <t>DO07048</t>
  </si>
  <si>
    <t>DO07053</t>
  </si>
  <si>
    <t>DO07055</t>
  </si>
  <si>
    <t>DO07056</t>
  </si>
  <si>
    <t>DO07058</t>
  </si>
  <si>
    <t>DO07059</t>
  </si>
  <si>
    <t>DO07060</t>
  </si>
  <si>
    <t>DO07061</t>
  </si>
  <si>
    <t>DO07081</t>
  </si>
  <si>
    <t>DO07082</t>
  </si>
  <si>
    <t>DO07083</t>
  </si>
  <si>
    <t>DO07084</t>
  </si>
  <si>
    <t>DO07085</t>
  </si>
  <si>
    <t>DO07086</t>
  </si>
  <si>
    <t>DO07087</t>
  </si>
  <si>
    <t>DO07088</t>
  </si>
  <si>
    <t>DO07089</t>
  </si>
  <si>
    <t>DO07090</t>
  </si>
  <si>
    <t>DO07091</t>
  </si>
  <si>
    <t>DO07092</t>
  </si>
  <si>
    <t>DO07093</t>
  </si>
  <si>
    <t>DO07094</t>
  </si>
  <si>
    <t>DO07095</t>
  </si>
  <si>
    <t>DO07096</t>
  </si>
  <si>
    <t>DO07097</t>
  </si>
  <si>
    <t>DO06893</t>
  </si>
  <si>
    <t>DO06894</t>
  </si>
  <si>
    <t>DO06895</t>
  </si>
  <si>
    <t>DO06896</t>
  </si>
  <si>
    <t>DO06897</t>
  </si>
  <si>
    <t>DO06884</t>
  </si>
  <si>
    <t>DO06465</t>
  </si>
  <si>
    <t>DO06885</t>
  </si>
  <si>
    <t>DO06886</t>
  </si>
  <si>
    <t>DO06887</t>
  </si>
  <si>
    <t>DO06889</t>
  </si>
  <si>
    <t>DO06890</t>
  </si>
  <si>
    <t>DO06891</t>
  </si>
  <si>
    <t>DO06892</t>
  </si>
  <si>
    <t>SC07841</t>
  </si>
  <si>
    <t>SC07842</t>
  </si>
  <si>
    <t>SC07843</t>
  </si>
  <si>
    <t>SC07844</t>
  </si>
  <si>
    <t>SC07845</t>
  </si>
  <si>
    <t>SC07846</t>
  </si>
  <si>
    <t>SC07847</t>
  </si>
  <si>
    <t>SC07848</t>
  </si>
  <si>
    <t>SC07849</t>
  </si>
  <si>
    <t>SC07850</t>
  </si>
  <si>
    <t>SC07851</t>
  </si>
  <si>
    <t>SC07852</t>
  </si>
  <si>
    <t>SC07853</t>
  </si>
  <si>
    <t>SC07854</t>
  </si>
  <si>
    <t>SC07855</t>
  </si>
  <si>
    <t>SC07856</t>
  </si>
  <si>
    <t>SC07857</t>
  </si>
  <si>
    <t>SC07859</t>
  </si>
  <si>
    <t>SC07860</t>
  </si>
  <si>
    <t>SC07861</t>
  </si>
  <si>
    <t>SC07862</t>
  </si>
  <si>
    <t>SC07863</t>
  </si>
  <si>
    <t>SC07864</t>
  </si>
  <si>
    <t>SC07865</t>
  </si>
  <si>
    <t>SC07866</t>
  </si>
  <si>
    <t>SC07867</t>
  </si>
  <si>
    <t>SC07868</t>
  </si>
  <si>
    <t>SC07869</t>
  </si>
  <si>
    <t>SC07870</t>
  </si>
  <si>
    <t>SC07871</t>
  </si>
  <si>
    <t>SC07872</t>
  </si>
  <si>
    <t>SC07873</t>
  </si>
  <si>
    <t>SC07874</t>
  </si>
  <si>
    <t>SC07875</t>
  </si>
  <si>
    <t>FR06802</t>
  </si>
  <si>
    <t>FR06803</t>
  </si>
  <si>
    <t>FR06804</t>
  </si>
  <si>
    <t>FR06805</t>
  </si>
  <si>
    <t>FR06806</t>
  </si>
  <si>
    <t>FR06586</t>
  </si>
  <si>
    <t>FR06587</t>
  </si>
  <si>
    <t>FR06588</t>
  </si>
  <si>
    <t>FR06589</t>
  </si>
  <si>
    <t>FR06590</t>
  </si>
  <si>
    <t>Generator Controls</t>
  </si>
  <si>
    <t>QSV91ph1</t>
  </si>
  <si>
    <t>Comments</t>
  </si>
  <si>
    <t>Available Thermostat (TH) Options Shown Must be Selected.  
For Off-Engine Thermostat Option, Choose TH7046</t>
  </si>
  <si>
    <t>Available Thermostat (EC &amp; TB) Options Shown Must be Selected.</t>
  </si>
  <si>
    <t>SC07878</t>
  </si>
  <si>
    <t>DO07100</t>
  </si>
  <si>
    <t>Production/Service</t>
  </si>
  <si>
    <t>Production</t>
  </si>
  <si>
    <t>SC07780</t>
  </si>
  <si>
    <t>Service Only</t>
  </si>
  <si>
    <t>DO07018</t>
  </si>
  <si>
    <t>SC07789</t>
  </si>
  <si>
    <t>DO07020</t>
  </si>
  <si>
    <r>
      <t xml:space="preserve">GQSK60-G4, 1160kW, 50Hz, 1618BHP@1500RPM, 11.4CR, 18deg timing
     </t>
    </r>
    <r>
      <rPr>
        <u/>
        <sz val="10"/>
        <rFont val="Arial"/>
        <family val="2"/>
      </rPr>
      <t>EC6117</t>
    </r>
    <r>
      <rPr>
        <sz val="10"/>
        <rFont val="Arial"/>
        <family val="2"/>
      </rPr>
      <t xml:space="preserve"> 95C HT, </t>
    </r>
    <r>
      <rPr>
        <u/>
        <sz val="10"/>
        <rFont val="Arial"/>
        <family val="2"/>
      </rPr>
      <t>TB6072</t>
    </r>
    <r>
      <rPr>
        <sz val="10"/>
        <rFont val="Arial"/>
        <family val="2"/>
      </rPr>
      <t xml:space="preserve"> 50C LT, 500mg/Nm3 NOx, 73MN
     </t>
    </r>
    <r>
      <rPr>
        <u/>
        <sz val="10"/>
        <rFont val="Arial"/>
        <family val="2"/>
      </rPr>
      <t>EC6116</t>
    </r>
    <r>
      <rPr>
        <sz val="10"/>
        <rFont val="Arial"/>
        <family val="2"/>
      </rPr>
      <t xml:space="preserve"> 90C HT, </t>
    </r>
    <r>
      <rPr>
        <u/>
        <sz val="10"/>
        <rFont val="Arial"/>
        <family val="2"/>
      </rPr>
      <t>TB6072</t>
    </r>
    <r>
      <rPr>
        <sz val="10"/>
        <rFont val="Arial"/>
        <family val="2"/>
      </rPr>
      <t xml:space="preserve"> 50C LT, 500mg/Nm3 NOx, 69MN</t>
    </r>
  </si>
  <si>
    <r>
      <t xml:space="preserve">GQSK60-G5, 1160kW, 50Hz, 1618BHP@1500RPM, 11.4CR, 18deg timing
     </t>
    </r>
    <r>
      <rPr>
        <u/>
        <sz val="10"/>
        <rFont val="Arial"/>
        <family val="2"/>
      </rPr>
      <t>EC6116</t>
    </r>
    <r>
      <rPr>
        <sz val="10"/>
        <rFont val="Arial"/>
        <family val="2"/>
      </rPr>
      <t xml:space="preserve"> 90C HT, </t>
    </r>
    <r>
      <rPr>
        <u/>
        <sz val="10"/>
        <rFont val="Arial"/>
        <family val="2"/>
      </rPr>
      <t>TB6075</t>
    </r>
    <r>
      <rPr>
        <sz val="10"/>
        <rFont val="Arial"/>
        <family val="2"/>
      </rPr>
      <t xml:space="preserve"> 40C LT, 500mg/Nm3 NOx, 61MN</t>
    </r>
  </si>
  <si>
    <r>
      <t xml:space="preserve">GQSK60-G6, 1160kW, 50Hz, 1618BHP@1500RPM, 12CR, 20deg timing
     </t>
    </r>
    <r>
      <rPr>
        <u/>
        <sz val="10"/>
        <rFont val="Arial"/>
        <family val="2"/>
      </rPr>
      <t>EC6117</t>
    </r>
    <r>
      <rPr>
        <sz val="10"/>
        <rFont val="Arial"/>
        <family val="2"/>
      </rPr>
      <t xml:space="preserve"> 95C HT, </t>
    </r>
    <r>
      <rPr>
        <u/>
        <sz val="10"/>
        <rFont val="Arial"/>
        <family val="2"/>
      </rPr>
      <t>TB6072</t>
    </r>
    <r>
      <rPr>
        <sz val="10"/>
        <rFont val="Arial"/>
        <family val="2"/>
      </rPr>
      <t xml:space="preserve"> 50C LT, 500mg/Nm3 NOx, 83MN</t>
    </r>
  </si>
  <si>
    <r>
      <t xml:space="preserve">GQSK60-G7, 1160kW, 50Hz, 1618BHP@1500RPM, 12CR, 18deg timing
     </t>
    </r>
    <r>
      <rPr>
        <u/>
        <sz val="10"/>
        <rFont val="Arial"/>
        <family val="2"/>
      </rPr>
      <t>EC6117</t>
    </r>
    <r>
      <rPr>
        <sz val="10"/>
        <rFont val="Arial"/>
        <family val="2"/>
      </rPr>
      <t xml:space="preserve"> 95C HT, </t>
    </r>
    <r>
      <rPr>
        <u/>
        <sz val="10"/>
        <rFont val="Arial"/>
        <family val="2"/>
      </rPr>
      <t>TB6072</t>
    </r>
    <r>
      <rPr>
        <sz val="10"/>
        <rFont val="Arial"/>
        <family val="2"/>
      </rPr>
      <t xml:space="preserve"> 50C LT, 500mg/Nm3 NOx, 78MN
     </t>
    </r>
    <r>
      <rPr>
        <u/>
        <sz val="10"/>
        <rFont val="Arial"/>
        <family val="2"/>
      </rPr>
      <t>EC6117</t>
    </r>
    <r>
      <rPr>
        <sz val="10"/>
        <rFont val="Arial"/>
        <family val="2"/>
      </rPr>
      <t xml:space="preserve"> 95C HT, </t>
    </r>
    <r>
      <rPr>
        <u/>
        <sz val="10"/>
        <rFont val="Arial"/>
        <family val="2"/>
      </rPr>
      <t>TB6072</t>
    </r>
    <r>
      <rPr>
        <sz val="10"/>
        <rFont val="Arial"/>
        <family val="2"/>
      </rPr>
      <t xml:space="preserve"> 50C LT, 350mg/Nm3 NOx, 75MN
     </t>
    </r>
    <r>
      <rPr>
        <u/>
        <sz val="10"/>
        <rFont val="Arial"/>
        <family val="2"/>
      </rPr>
      <t>EC6117</t>
    </r>
    <r>
      <rPr>
        <sz val="10"/>
        <rFont val="Arial"/>
        <family val="2"/>
      </rPr>
      <t xml:space="preserve"> 95C HT, </t>
    </r>
    <r>
      <rPr>
        <u/>
        <sz val="10"/>
        <rFont val="Arial"/>
        <family val="2"/>
      </rPr>
      <t>TB6075</t>
    </r>
    <r>
      <rPr>
        <sz val="10"/>
        <rFont val="Arial"/>
        <family val="2"/>
      </rPr>
      <t xml:space="preserve"> 40C LT, 350mg/Nm3 NOx, 67MN</t>
    </r>
  </si>
  <si>
    <t>Cal Option
X-Ref</t>
  </si>
  <si>
    <t>SC60507</t>
  </si>
  <si>
    <t>DO06652</t>
  </si>
  <si>
    <t>G-Drive Aggeko Deif</t>
  </si>
  <si>
    <t>SC60581</t>
  </si>
  <si>
    <t>DO06725</t>
  </si>
  <si>
    <t>QSV91, 2000kWe, 60Hz, 1514rpm &amp; GearBox, 12.5CR, 92C HT, 50C LT
     0.5g/Hp-hr NOx, 76MN
* Production test cal to be used with natural gas only.  Use service only cal for onsite low-BTU fuel.  Dual fuel system.</t>
  </si>
  <si>
    <t xml:space="preserve">PRODUCTION TEST cal to be used with natural gas only.  </t>
  </si>
  <si>
    <t>QSV91, 2000kWe, 50Hz, 1500rpm, 12.5CR, 92C HT, 50C LT
     250mg/Nm3 NOx, 75MN
* Production test cal to be used with natural gas only.  Use service only cal for onsite low-BTU fuel.  Dual fuel system.</t>
  </si>
  <si>
    <t>-</t>
  </si>
  <si>
    <t>QSV91, 2000kWe, 60Hz, 1514rpm &amp; GearBox, 12.5CR, 92C HT, 50C LT
     0.5g/Hp-hr NOx, 76MN
* QSV91ph2 Service only cal to be used with low-BTU fuel.  Dual fuel system.</t>
  </si>
  <si>
    <t>PCC3300 / PCC3100</t>
  </si>
  <si>
    <t>SERVICE ONLY cal for low-BTU fuel only.   Utilizes same MCM700 cal as PROD TEST cal above, but different SSM558 cal.</t>
  </si>
  <si>
    <t>QSV91, 2000kWe, 50Hz, 1500rpm, 12.5CR, 92C HT, 50C LT
     250mg/Nm3 NOx, 75MN
* QSV91ph2 Service only cal to be used with low-BTU fuel.  Dual fuel system.</t>
  </si>
  <si>
    <r>
      <t xml:space="preserve">QSV91, 1750kW, 50 &amp; 60Hz, 1500 &amp; 1514rpm, 16bar, 12 &amp; 11.4CR, 50C LT
     </t>
    </r>
    <r>
      <rPr>
        <u/>
        <sz val="10"/>
        <rFont val="Arial"/>
        <family val="2"/>
      </rPr>
      <t>TH7047</t>
    </r>
    <r>
      <rPr>
        <sz val="10"/>
        <rFont val="Arial"/>
        <family val="2"/>
      </rPr>
      <t xml:space="preserve"> 103C HT, 500mg/Nm3 NOx, 80 &amp; 70MN
* QSV91ph1 LowBTU service only cal</t>
    </r>
  </si>
  <si>
    <t>19, 24, 26, 28</t>
  </si>
  <si>
    <t>FR07328</t>
  </si>
  <si>
    <t>DO07101</t>
  </si>
  <si>
    <t>SC07879</t>
  </si>
  <si>
    <t>SC07880</t>
  </si>
  <si>
    <t>DO07102</t>
  </si>
  <si>
    <t>FR07329</t>
  </si>
  <si>
    <t>Old Prod PJ</t>
  </si>
  <si>
    <t>New Prod PJ</t>
  </si>
  <si>
    <t>QSK60ph2 (Surf)</t>
  </si>
  <si>
    <t>Corp PG</t>
  </si>
  <si>
    <t>Corp PG &amp; Aggreko G-Drive</t>
  </si>
  <si>
    <t>PJ60183</t>
  </si>
  <si>
    <t>PJ60184</t>
  </si>
  <si>
    <t>PJ60185</t>
  </si>
  <si>
    <t>PJ60186</t>
  </si>
  <si>
    <t>PJ60187</t>
  </si>
  <si>
    <t>PJ60188</t>
  </si>
  <si>
    <t>PJ60189</t>
  </si>
  <si>
    <t>PJ60190</t>
  </si>
  <si>
    <t>PJ60191</t>
  </si>
  <si>
    <t>PJ60192</t>
  </si>
  <si>
    <t>PJ60193</t>
  </si>
  <si>
    <t>PJ60194</t>
  </si>
  <si>
    <t>QSK60ph4 (HiSurf)</t>
  </si>
  <si>
    <t>QSV91ph1 Low BTU</t>
  </si>
  <si>
    <t>QSV91ph2</t>
  </si>
  <si>
    <t>QSK19</t>
  </si>
  <si>
    <t>Other</t>
  </si>
  <si>
    <t>Manufacturing Facility</t>
  </si>
  <si>
    <t>DAV</t>
  </si>
  <si>
    <t>ECM Code</t>
  </si>
  <si>
    <t>MCM700</t>
  </si>
  <si>
    <t>SSM558</t>
  </si>
  <si>
    <t>ETR Service Calibration P/N</t>
  </si>
  <si>
    <t>PJ Option 
A / Left / INLINE</t>
  </si>
  <si>
    <t>ECM Code 
A / Left / INLINE</t>
  </si>
  <si>
    <t>PJ Option 
B / Right</t>
  </si>
  <si>
    <t xml:space="preserve">ECM Code 
B / Right </t>
  </si>
  <si>
    <t>ETR Service Calibration P/N   
A / Left 
/ INLINE</t>
  </si>
  <si>
    <t>ETR Service Calibration P/N   
B / Right</t>
  </si>
  <si>
    <t>Calibration SW Version</t>
  </si>
  <si>
    <t>ECM P/N Supported by the Calibration</t>
  </si>
  <si>
    <t>Engine Info</t>
  </si>
  <si>
    <t>Generator Set Integrator</t>
  </si>
  <si>
    <t>FC Option</t>
  </si>
  <si>
    <t>Aggreko</t>
  </si>
  <si>
    <t>CPG / ESB</t>
  </si>
  <si>
    <t>QSK19G</t>
  </si>
  <si>
    <t>PCC3100, non- PCC-MCM700 Datalink System</t>
  </si>
  <si>
    <t>Kavlico FIP/FOP Sensors (SSM558)</t>
  </si>
  <si>
    <t>Kavlico FIP/FOP Sensors (SSM558), 
Lambda Closed Loop Control</t>
  </si>
  <si>
    <t>GQTA19-G3,  334kWe, 60Hz, 471 BHP @ 1800 RPM, 11:1CR, 17deg timing 
     95C HT, 40C LT, 
     1.0 g/(bhp-hr) NOx, 75MN</t>
  </si>
  <si>
    <t xml:space="preserve"> P10003.06</t>
  </si>
  <si>
    <t>SC40177</t>
  </si>
  <si>
    <t>DO04467</t>
  </si>
  <si>
    <t>FC0EN04</t>
  </si>
  <si>
    <t>FR04404</t>
  </si>
  <si>
    <t>SEP (formerly CIC)</t>
  </si>
  <si>
    <t>GQTA19-G4,  334kWe, 60Hz, 471 BHP @ 1800 RPM, 11:1CR, 17deg timing 
     95C HT, 40C LT, 
     2.0 g/(bhp-hr) NOx, 75MN</t>
  </si>
  <si>
    <t xml:space="preserve"> P10004.06</t>
  </si>
  <si>
    <t>SC40178</t>
  </si>
  <si>
    <t>DO04468</t>
  </si>
  <si>
    <t>FC0EN05</t>
  </si>
  <si>
    <t>FR04405</t>
  </si>
  <si>
    <t>GQTA19-G1,  315kWe, 50Hz, 450 BHP @ 1500 RPM, 11:1CR, 17deg timing 
     95C HT, 40C LT, 
     500 mg/Nm3 NOx normalized to 5% O2 (dry), 75MN</t>
  </si>
  <si>
    <t>SC40179</t>
  </si>
  <si>
    <t>DO04469</t>
  </si>
  <si>
    <t>FC0EN03</t>
  </si>
  <si>
    <t>FR04406</t>
  </si>
  <si>
    <t>GQTA19-G2,  315kWe, 50Hz, 450 BHP @ 1500 RPM, 11:1CR, 17deg timing 
     95C HT, 40C LT, 
     1000 mg/Nm3 NOx normalized to 5% O2 (dry), 75MN</t>
  </si>
  <si>
    <t xml:space="preserve"> P10001.07</t>
  </si>
  <si>
    <t>SC40180</t>
  </si>
  <si>
    <t>DO04470</t>
  </si>
  <si>
    <t>FC0EN06</t>
  </si>
  <si>
    <t>FR04407</t>
  </si>
  <si>
    <t>n/a</t>
  </si>
  <si>
    <t>AI10002.05</t>
  </si>
  <si>
    <t>PJ04701</t>
  </si>
  <si>
    <t>AI10003.05</t>
  </si>
  <si>
    <t>PJ04702</t>
  </si>
  <si>
    <t>AI10001.05</t>
  </si>
  <si>
    <t>PJ04703</t>
  </si>
  <si>
    <t>AI10004.05</t>
  </si>
  <si>
    <t>PJ04704</t>
  </si>
  <si>
    <t>4954431, 3607754</t>
  </si>
  <si>
    <t>PCC3100, 
PCC-MCM700 Datalink System, 
ModBus Interface rev 00</t>
  </si>
  <si>
    <t>PCC3100, 
non- PCC-MCM700 
Datalink System, 
ModBus Interface rev 00</t>
  </si>
  <si>
    <t xml:space="preserve"> P10023.05</t>
  </si>
  <si>
    <t>SC40260</t>
  </si>
  <si>
    <t>DO04546</t>
  </si>
  <si>
    <t>FC0EN13</t>
  </si>
  <si>
    <t>SC40261</t>
  </si>
  <si>
    <t>DO04547</t>
  </si>
  <si>
    <t>FC0EN14</t>
  </si>
  <si>
    <t>SC40262</t>
  </si>
  <si>
    <t>DO04548</t>
  </si>
  <si>
    <t>FC0EN15</t>
  </si>
  <si>
    <t xml:space="preserve"> P10022.05</t>
  </si>
  <si>
    <t>SC40263</t>
  </si>
  <si>
    <t>DO04549</t>
  </si>
  <si>
    <t>FC0EN16</t>
  </si>
  <si>
    <t>AI10030.04</t>
  </si>
  <si>
    <t>PJ04705</t>
  </si>
  <si>
    <t>AI10029.04</t>
  </si>
  <si>
    <t>PJ04706</t>
  </si>
  <si>
    <t>AI10028.04</t>
  </si>
  <si>
    <t>PJ04707</t>
  </si>
  <si>
    <t>Engine Configuration</t>
  </si>
  <si>
    <t>D483002GX03</t>
  </si>
  <si>
    <t>AI10027.04</t>
  </si>
  <si>
    <t>PJ04708</t>
  </si>
  <si>
    <t>Engine Type</t>
  </si>
  <si>
    <t>VEE</t>
  </si>
  <si>
    <t>INLINE</t>
  </si>
  <si>
    <t>DANFOSS FIP/FOP Sensors (SSM558), 
Lambda Closed Loop Control</t>
  </si>
  <si>
    <t>SC40408</t>
  </si>
  <si>
    <t>DO04667</t>
  </si>
  <si>
    <t>FC0EN23</t>
  </si>
  <si>
    <t>FR04474</t>
  </si>
  <si>
    <t>SC40409</t>
  </si>
  <si>
    <t>DO04668</t>
  </si>
  <si>
    <t>FC0EN24</t>
  </si>
  <si>
    <t>FR04475</t>
  </si>
  <si>
    <t xml:space="preserve"> P10114.03</t>
  </si>
  <si>
    <t>SC40410</t>
  </si>
  <si>
    <t>DO04669</t>
  </si>
  <si>
    <t>FC0EN25</t>
  </si>
  <si>
    <t>FR04476</t>
  </si>
  <si>
    <t xml:space="preserve"> P10115.03</t>
  </si>
  <si>
    <t>SC40411</t>
  </si>
  <si>
    <t>DO04670</t>
  </si>
  <si>
    <t>FC0EN26</t>
  </si>
  <si>
    <t>FR04477</t>
  </si>
  <si>
    <t>AI10075.02</t>
  </si>
  <si>
    <t>PJ04709</t>
  </si>
  <si>
    <t>AI10076.02</t>
  </si>
  <si>
    <t>PJ04710</t>
  </si>
  <si>
    <t>AI10077.02</t>
  </si>
  <si>
    <t>PJ04711</t>
  </si>
  <si>
    <t>AI10078.02</t>
  </si>
  <si>
    <t>PJ04712</t>
  </si>
  <si>
    <t>SC40412</t>
  </si>
  <si>
    <t>SC40413</t>
  </si>
  <si>
    <t>SC40414</t>
  </si>
  <si>
    <t>SC40415</t>
  </si>
  <si>
    <t>DO04682</t>
  </si>
  <si>
    <t>DO04683</t>
  </si>
  <si>
    <t>DO04684</t>
  </si>
  <si>
    <t>DO04685</t>
  </si>
  <si>
    <t>4954429, 3426369</t>
  </si>
  <si>
    <t>FC0EN27</t>
  </si>
  <si>
    <t>FR04490</t>
  </si>
  <si>
    <t>FC0EN28</t>
  </si>
  <si>
    <t>FR04491</t>
  </si>
  <si>
    <t>FC0EN29</t>
  </si>
  <si>
    <t>FR04492</t>
  </si>
  <si>
    <t>FC0EN30</t>
  </si>
  <si>
    <t>FR04493</t>
  </si>
  <si>
    <t>AI10074.03</t>
  </si>
  <si>
    <t>PJ04713</t>
  </si>
  <si>
    <t>AI10073.03</t>
  </si>
  <si>
    <t>PJ04714</t>
  </si>
  <si>
    <t>AI10072.03</t>
  </si>
  <si>
    <t>PJ04715</t>
  </si>
  <si>
    <t>AI10071.03</t>
  </si>
  <si>
    <t>PJ04716</t>
  </si>
  <si>
    <t>PJ04721</t>
  </si>
  <si>
    <t>PJ04722</t>
  </si>
  <si>
    <t>PJ04723</t>
  </si>
  <si>
    <t>PJ04724</t>
  </si>
  <si>
    <t>AI10155.00</t>
  </si>
  <si>
    <t>AI10156.00</t>
  </si>
  <si>
    <t>AI10157.00</t>
  </si>
  <si>
    <t>AI10158.00</t>
  </si>
  <si>
    <t xml:space="preserve">B00040000000000COMPATNOTEPA10249QSPCD0010DEV                                                                                                                                                                                                                  </t>
  </si>
  <si>
    <t>ECM p/n</t>
  </si>
  <si>
    <t>Data, Engine Control Subfile 1</t>
  </si>
  <si>
    <t>Data, Electronic Constants Subfile 2</t>
  </si>
  <si>
    <t>Code, Engine Control Subfile 3</t>
  </si>
  <si>
    <t>Data, 
Engine Configuration Subfile 4</t>
  </si>
  <si>
    <t>Data, Performance Control Subfile 5</t>
  </si>
  <si>
    <t>Data, System Control Subfile 6</t>
  </si>
  <si>
    <t>Data, Application Control 
Subfile 8</t>
  </si>
  <si>
    <t>AP Option</t>
  </si>
  <si>
    <t>PP Option</t>
  </si>
  <si>
    <t>Eng Family</t>
  </si>
  <si>
    <t>Data, 
Apl Configuration</t>
  </si>
  <si>
    <t>Data, Header</t>
  </si>
  <si>
    <t>Data, Bootloader</t>
  </si>
  <si>
    <t>Data, Nonvolatile Memory</t>
  </si>
  <si>
    <t>Data, Cal Dependency</t>
  </si>
  <si>
    <t xml:space="preserve">3426369 (MCM700 ECM p/n) </t>
  </si>
  <si>
    <t>ModBus Interface rev 00</t>
  </si>
  <si>
    <t>Lambda Closed Loop Control (SSM558)</t>
  </si>
  <si>
    <t>471 bhp</t>
  </si>
  <si>
    <t>1800 rpm</t>
  </si>
  <si>
    <t xml:space="preserve">1 G NOX/BHP-HR      </t>
  </si>
  <si>
    <t>Service</t>
  </si>
  <si>
    <t>D1</t>
  </si>
  <si>
    <t>AP04033</t>
  </si>
  <si>
    <t>PP02113</t>
  </si>
  <si>
    <t>D48</t>
  </si>
  <si>
    <t xml:space="preserve">2 G NOX/BHP-HR      </t>
  </si>
  <si>
    <t>450 bhp</t>
  </si>
  <si>
    <t>1500 rpm</t>
  </si>
  <si>
    <t>500 MG/M3 NOX @ 5%O2</t>
  </si>
  <si>
    <t xml:space="preserve"> P10002.06</t>
  </si>
  <si>
    <t>1000 MG/M3 NOX @5%O2</t>
  </si>
  <si>
    <t>PCC3100, PCC-MCM700 Datalink System</t>
  </si>
  <si>
    <t>DANFOSS FIP/FOP Sensors (SSM558)</t>
  </si>
  <si>
    <t xml:space="preserve"> P10111.03</t>
  </si>
  <si>
    <t>AP04102</t>
  </si>
  <si>
    <t xml:space="preserve"> P10110.03</t>
  </si>
  <si>
    <t xml:space="preserve"> P10109.03</t>
  </si>
  <si>
    <t>AP04101</t>
  </si>
  <si>
    <t xml:space="preserve"> P10108.03</t>
  </si>
  <si>
    <t xml:space="preserve">4954429 (MCM700 ECM p/n) </t>
  </si>
  <si>
    <t xml:space="preserve"> P10024.05</t>
  </si>
  <si>
    <t xml:space="preserve"> P10021.05</t>
  </si>
  <si>
    <t xml:space="preserve"> P10112.03</t>
  </si>
  <si>
    <t xml:space="preserve"> P10113.03</t>
  </si>
  <si>
    <t xml:space="preserve">B00041000000000COMPATNOTEPA10266AABCD0010DEV                                                                                                                                                                                                                  </t>
  </si>
  <si>
    <t>Data, Installation Trim 
Subfile 7</t>
  </si>
  <si>
    <t>Data, 
Cal Dependency</t>
  </si>
  <si>
    <t/>
  </si>
  <si>
    <t xml:space="preserve">3607754 (SSM558 ECM p/n) </t>
  </si>
  <si>
    <t xml:space="preserve">4954431 (SSM558 ECM p/n) </t>
  </si>
  <si>
    <t>SC07881</t>
  </si>
  <si>
    <t>DO07103</t>
  </si>
  <si>
    <t>FCBN86</t>
  </si>
  <si>
    <t>QSV91, 2000kWe, 50Hz, 1500rpm, 11.4CR, 92C HT
     40C LT*, 500mg/Nm3 NOx, 65MN
*CPGK/ESB to be sure to sort nominal LT temperature control target via electronically controlled thermostat system</t>
  </si>
  <si>
    <t>Multi-Turbo</t>
  </si>
  <si>
    <t>PJ07907</t>
  </si>
  <si>
    <t>PJ07908</t>
  </si>
  <si>
    <t>SC60384</t>
  </si>
  <si>
    <t>SC60299</t>
  </si>
  <si>
    <t>SC60300</t>
  </si>
  <si>
    <t>SC60301</t>
  </si>
  <si>
    <t>x</t>
  </si>
  <si>
    <t>SC07784</t>
  </si>
  <si>
    <t>SC07783</t>
  </si>
  <si>
    <t>SC07800</t>
  </si>
  <si>
    <t>SC07799</t>
  </si>
  <si>
    <t>SC07798</t>
  </si>
  <si>
    <t>SC07797</t>
  </si>
  <si>
    <t>SC07795</t>
  </si>
  <si>
    <t>SC07794</t>
  </si>
  <si>
    <t>SC07792</t>
  </si>
  <si>
    <t>SC07790</t>
  </si>
  <si>
    <t>SC07818</t>
  </si>
  <si>
    <t>SC07816</t>
  </si>
  <si>
    <t>SC07815</t>
  </si>
  <si>
    <t>SC07814</t>
  </si>
  <si>
    <t>SC07813</t>
  </si>
  <si>
    <t>SC07821</t>
  </si>
  <si>
    <t>DO07014</t>
  </si>
  <si>
    <t>DO07016</t>
  </si>
  <si>
    <t>FR07282</t>
  </si>
  <si>
    <t>QSV91, 2000kWe, 60Hz, 1514rpm &amp; GearBox, 12.5CR, 90C HT, 50C LT
    0.7g/Hp-hr NOx, 75MN
*CPGK/ESB to be sure to sort nominal LT temperature control target via electronically controlled thermostat system</t>
  </si>
  <si>
    <t>DO07031</t>
  </si>
  <si>
    <t>DO07032</t>
  </si>
  <si>
    <t>DO07037</t>
  </si>
  <si>
    <t>FR07271</t>
  </si>
  <si>
    <t>DO07039</t>
  </si>
  <si>
    <t>FR07274</t>
  </si>
  <si>
    <t>DO07041</t>
  </si>
  <si>
    <t>FR07232</t>
  </si>
  <si>
    <t>FR07239</t>
  </si>
  <si>
    <t>DO07042</t>
  </si>
  <si>
    <t>DO07044</t>
  </si>
  <si>
    <t>FR07275</t>
  </si>
  <si>
    <t>DO07045</t>
  </si>
  <si>
    <t>FR07143</t>
  </si>
  <si>
    <t>DO07046</t>
  </si>
  <si>
    <t>FR07267</t>
  </si>
  <si>
    <t>FR07291</t>
  </si>
  <si>
    <t>FR07289</t>
  </si>
  <si>
    <t>FR07288</t>
  </si>
  <si>
    <t>FR07287</t>
  </si>
  <si>
    <t>FR07286</t>
  </si>
  <si>
    <t xml:space="preserve">3426369, 4954429
</t>
  </si>
  <si>
    <t xml:space="preserve">4954429
</t>
  </si>
  <si>
    <t>3607754, 4954431</t>
  </si>
  <si>
    <t>AI10204.00</t>
  </si>
  <si>
    <t>AI10208.00</t>
  </si>
  <si>
    <t>AI10206.00</t>
  </si>
  <si>
    <t>AI10210.00</t>
  </si>
  <si>
    <t>AI10045.09</t>
  </si>
  <si>
    <t>AI10048.09</t>
  </si>
  <si>
    <t>AI10047.09</t>
  </si>
  <si>
    <t>AI10114.02</t>
  </si>
  <si>
    <t>AI10116.02</t>
  </si>
  <si>
    <t>AI10111.02</t>
  </si>
  <si>
    <t>AI10112.02</t>
  </si>
  <si>
    <t>AI10212.00</t>
  </si>
  <si>
    <t>Compatibility Report for HHP_NGCT_Calibration_Ratings_Options_and_Tracking_26May2011_varu.xls</t>
  </si>
  <si>
    <t>Run on 6/20/2011 10:44</t>
  </si>
  <si>
    <t>The following features in this workbook are not supported by earlier versions of Excel. These features may be lost or degraded when you save this workbook in an earlier file format.</t>
  </si>
  <si>
    <t>Minor loss of fidelity</t>
  </si>
  <si>
    <t># of occurrences</t>
  </si>
  <si>
    <t>Some cells or styles in this workbook contain formatting that is not supported by the selected file format. These formats will be converted to the closest format available.</t>
  </si>
  <si>
    <t>FR07322 FR07323 FR07324 FR07325</t>
  </si>
  <si>
    <t>AI10214.00</t>
  </si>
  <si>
    <t>3607754, 4954432</t>
  </si>
  <si>
    <t>3607754, 4954433</t>
  </si>
  <si>
    <t>3607754, 4954434</t>
  </si>
  <si>
    <t>3607754, 4954435</t>
  </si>
  <si>
    <t>Cal Option X-Ref</t>
  </si>
  <si>
    <t>SC11639</t>
  </si>
  <si>
    <t>SC11657</t>
  </si>
  <si>
    <t>SC11678</t>
  </si>
  <si>
    <t>SC11681</t>
  </si>
  <si>
    <t>SC11776</t>
  </si>
  <si>
    <t>SC11777</t>
  </si>
  <si>
    <t>SC11778</t>
  </si>
  <si>
    <t>SC11779</t>
  </si>
  <si>
    <t>SC11782</t>
  </si>
  <si>
    <t>SC11783</t>
  </si>
  <si>
    <t>SC11784</t>
  </si>
  <si>
    <t>SC11785</t>
  </si>
  <si>
    <t>SC11786</t>
  </si>
  <si>
    <t>SC11787</t>
  </si>
  <si>
    <t>SC11788</t>
  </si>
  <si>
    <t>SC11789</t>
  </si>
  <si>
    <t>SC11804</t>
  </si>
  <si>
    <t>SC11805</t>
  </si>
  <si>
    <t>SC11806</t>
  </si>
  <si>
    <t>SC11807</t>
  </si>
  <si>
    <t>SC11863</t>
  </si>
  <si>
    <t>SC11864</t>
  </si>
  <si>
    <t>SC11865</t>
  </si>
  <si>
    <t>SC11866</t>
  </si>
  <si>
    <t>SC11876</t>
  </si>
  <si>
    <t>SC11877</t>
  </si>
  <si>
    <t>SC11878</t>
  </si>
  <si>
    <t>SC11879</t>
  </si>
  <si>
    <t>SC11932</t>
  </si>
  <si>
    <t>SC40322</t>
  </si>
  <si>
    <t>SC40398</t>
  </si>
  <si>
    <t>SC40431</t>
  </si>
  <si>
    <t>SC40476</t>
  </si>
  <si>
    <t>SC40508</t>
  </si>
  <si>
    <t>SC40512</t>
  </si>
  <si>
    <t>SC40513</t>
  </si>
  <si>
    <t>SC40514</t>
  </si>
  <si>
    <t>SC40581</t>
  </si>
  <si>
    <t>SC40582</t>
  </si>
  <si>
    <t>SC60210</t>
  </si>
  <si>
    <t>SC60211</t>
  </si>
  <si>
    <t>SC60212</t>
  </si>
  <si>
    <t>SC60213</t>
  </si>
  <si>
    <t>SC97736</t>
  </si>
  <si>
    <t>SC97896</t>
  </si>
  <si>
    <t>SC97897</t>
  </si>
  <si>
    <t>SC98006</t>
  </si>
  <si>
    <t>SC98289</t>
  </si>
  <si>
    <t>SC98290</t>
  </si>
  <si>
    <t>SC98291</t>
  </si>
  <si>
    <t>SC98333</t>
  </si>
  <si>
    <t>SC98334</t>
  </si>
  <si>
    <t>SC98335</t>
  </si>
  <si>
    <t>SC98336</t>
  </si>
  <si>
    <t>SC98337</t>
  </si>
  <si>
    <t>SC98338</t>
  </si>
  <si>
    <t>SC98380</t>
  </si>
  <si>
    <t>SC98381</t>
  </si>
  <si>
    <t>SC98382</t>
  </si>
  <si>
    <t>SC98425</t>
  </si>
  <si>
    <t>SC98426</t>
  </si>
  <si>
    <t>SC98427</t>
  </si>
  <si>
    <t>SC98428</t>
  </si>
  <si>
    <t>SC98429</t>
  </si>
  <si>
    <t>SC98430</t>
  </si>
  <si>
    <t>SC98454</t>
  </si>
  <si>
    <t>SC98455</t>
  </si>
  <si>
    <t>SC98456</t>
  </si>
  <si>
    <t>SC98471</t>
  </si>
  <si>
    <t>SC98472</t>
  </si>
  <si>
    <t>SC98473</t>
  </si>
  <si>
    <t>SC98775</t>
  </si>
  <si>
    <t>SC98776</t>
  </si>
  <si>
    <t>SC98777</t>
  </si>
  <si>
    <t>SC98778</t>
  </si>
  <si>
    <t>SC98779</t>
  </si>
  <si>
    <t>SC98780</t>
  </si>
  <si>
    <t>SC98789</t>
  </si>
  <si>
    <t>SC98790</t>
  </si>
  <si>
    <t>SC98791</t>
  </si>
  <si>
    <t>SC98792</t>
  </si>
  <si>
    <t>SC98793</t>
  </si>
  <si>
    <t>SC98794</t>
  </si>
  <si>
    <t>SC98795</t>
  </si>
  <si>
    <t>SC98796</t>
  </si>
  <si>
    <t>SC98797</t>
  </si>
  <si>
    <t>SC98798</t>
  </si>
  <si>
    <t>SC98799</t>
  </si>
  <si>
    <t>SC98800</t>
  </si>
  <si>
    <t>SC98806</t>
  </si>
  <si>
    <t>SC98807</t>
  </si>
  <si>
    <t>SC98808</t>
  </si>
  <si>
    <t>SC98809</t>
  </si>
  <si>
    <t>SC98810</t>
  </si>
  <si>
    <t>SC98811</t>
  </si>
  <si>
    <t>SC98812</t>
  </si>
  <si>
    <t>SC98813</t>
  </si>
  <si>
    <t>SC98814</t>
  </si>
  <si>
    <t>SC98815</t>
  </si>
  <si>
    <t>SC98816</t>
  </si>
  <si>
    <t>SC98817</t>
  </si>
  <si>
    <t>SC98818</t>
  </si>
  <si>
    <t>SC98819</t>
  </si>
  <si>
    <t>SC98820</t>
  </si>
  <si>
    <t>SC98821</t>
  </si>
  <si>
    <t>SC98822</t>
  </si>
  <si>
    <t>SC98823</t>
  </si>
  <si>
    <t>SC98824</t>
  </si>
  <si>
    <t>SC98825</t>
  </si>
  <si>
    <t>SC98826</t>
  </si>
  <si>
    <t>SC98827</t>
  </si>
  <si>
    <t>SC98828</t>
  </si>
  <si>
    <t>SC98829</t>
  </si>
  <si>
    <t>SC98830</t>
  </si>
  <si>
    <t>SC98831</t>
  </si>
  <si>
    <t>SC98832</t>
  </si>
  <si>
    <t>SC98833</t>
  </si>
  <si>
    <t>SC98834</t>
  </si>
  <si>
    <t>SC98835</t>
  </si>
  <si>
    <t>SC98836</t>
  </si>
  <si>
    <t>SC98837</t>
  </si>
  <si>
    <t>SC98838</t>
  </si>
  <si>
    <t>SC98839</t>
  </si>
  <si>
    <t>SC98840</t>
  </si>
  <si>
    <t>SC98841</t>
  </si>
  <si>
    <t>SC98932</t>
  </si>
  <si>
    <t>SC98933</t>
  </si>
  <si>
    <t>SC98934</t>
  </si>
  <si>
    <t>SC98940</t>
  </si>
  <si>
    <t>SC98941</t>
  </si>
  <si>
    <t>SC99408</t>
  </si>
  <si>
    <t>DO01539</t>
  </si>
  <si>
    <t>DO01550</t>
  </si>
  <si>
    <t>DO01568</t>
  </si>
  <si>
    <t>DO01768</t>
  </si>
  <si>
    <t>DO01552</t>
  </si>
  <si>
    <t>DO01646</t>
  </si>
  <si>
    <t>DO01647</t>
  </si>
  <si>
    <t>DO01681</t>
  </si>
  <si>
    <t>DO01658</t>
  </si>
  <si>
    <t>DO01659</t>
  </si>
  <si>
    <t>DO01660</t>
  </si>
  <si>
    <t>DO01661</t>
  </si>
  <si>
    <t>DO01662</t>
  </si>
  <si>
    <t>DO01663</t>
  </si>
  <si>
    <t>DO01664</t>
  </si>
  <si>
    <t>DO01665</t>
  </si>
  <si>
    <t>DO01648</t>
  </si>
  <si>
    <t>DO01680</t>
  </si>
  <si>
    <t>DO01682</t>
  </si>
  <si>
    <t>DO01645</t>
  </si>
  <si>
    <t>DO01736</t>
  </si>
  <si>
    <t>DO01737</t>
  </si>
  <si>
    <t>DO01738</t>
  </si>
  <si>
    <t>DO01739</t>
  </si>
  <si>
    <t>DO01749</t>
  </si>
  <si>
    <t>DO01750</t>
  </si>
  <si>
    <t>DO01751</t>
  </si>
  <si>
    <t>DO01752</t>
  </si>
  <si>
    <t>DO01569</t>
  </si>
  <si>
    <t>DO04607</t>
  </si>
  <si>
    <t>DO04677</t>
  </si>
  <si>
    <t>DO04703</t>
  </si>
  <si>
    <t>DO04749</t>
  </si>
  <si>
    <t>DO04781</t>
  </si>
  <si>
    <t>DO04785</t>
  </si>
  <si>
    <t>DO04786</t>
  </si>
  <si>
    <t>DO04787</t>
  </si>
  <si>
    <t>DO04853</t>
  </si>
  <si>
    <t>DO04854</t>
  </si>
  <si>
    <t>DO06364</t>
  </si>
  <si>
    <t>DO06365</t>
  </si>
  <si>
    <t>DO06366</t>
  </si>
  <si>
    <t>DO06367</t>
  </si>
  <si>
    <t>DO90619</t>
  </si>
  <si>
    <t>DO91034</t>
  </si>
  <si>
    <t>DO91035</t>
  </si>
  <si>
    <t>DO90878</t>
  </si>
  <si>
    <t>DO91179</t>
  </si>
  <si>
    <t>DO91180</t>
  </si>
  <si>
    <t>DO91181</t>
  </si>
  <si>
    <t>DO91205</t>
  </si>
  <si>
    <t>DO91206</t>
  </si>
  <si>
    <t>DO91352</t>
  </si>
  <si>
    <t>DO91353</t>
  </si>
  <si>
    <t>DO91356</t>
  </si>
  <si>
    <t>DO91357</t>
  </si>
  <si>
    <t>DO91240</t>
  </si>
  <si>
    <t>DO91241</t>
  </si>
  <si>
    <t>DO91242</t>
  </si>
  <si>
    <t>DO91399</t>
  </si>
  <si>
    <t>DO91389</t>
  </si>
  <si>
    <t>DO91390</t>
  </si>
  <si>
    <t>DO91291</t>
  </si>
  <si>
    <t>DO91336</t>
  </si>
  <si>
    <t>DO91337</t>
  </si>
  <si>
    <t>DO91292</t>
  </si>
  <si>
    <t>DO91338</t>
  </si>
  <si>
    <t>DO91339</t>
  </si>
  <si>
    <t>DO91400</t>
  </si>
  <si>
    <t>DO91391</t>
  </si>
  <si>
    <t>DO91392</t>
  </si>
  <si>
    <t>DO91225</t>
  </si>
  <si>
    <t>DO91226</t>
  </si>
  <si>
    <t>DO91354</t>
  </si>
  <si>
    <t>DO91355</t>
  </si>
  <si>
    <t>DO91358</t>
  </si>
  <si>
    <t>DO91359</t>
  </si>
  <si>
    <t>DO91799</t>
  </si>
  <si>
    <t>DO91800</t>
  </si>
  <si>
    <t>DO91801</t>
  </si>
  <si>
    <t>DO91802</t>
  </si>
  <si>
    <t>DO91803</t>
  </si>
  <si>
    <t>DO91804</t>
  </si>
  <si>
    <t>DO91805</t>
  </si>
  <si>
    <t>DO91806</t>
  </si>
  <si>
    <t>DO91807</t>
  </si>
  <si>
    <t>DO91808</t>
  </si>
  <si>
    <t>DO91809</t>
  </si>
  <si>
    <t>DO91810</t>
  </si>
  <si>
    <t>DO91393</t>
  </si>
  <si>
    <t>DO91394</t>
  </si>
  <si>
    <t>DO91395</t>
  </si>
  <si>
    <t>DO91396</t>
  </si>
  <si>
    <t>DO91397</t>
  </si>
  <si>
    <t>DO91398</t>
  </si>
  <si>
    <t>DO91340</t>
  </si>
  <si>
    <t>DO91341</t>
  </si>
  <si>
    <t>DO91342</t>
  </si>
  <si>
    <t>DO91343</t>
  </si>
  <si>
    <t>DO91344</t>
  </si>
  <si>
    <t>DO91345</t>
  </si>
  <si>
    <t>DO91814</t>
  </si>
  <si>
    <t>DO91815</t>
  </si>
  <si>
    <t>DO91816</t>
  </si>
  <si>
    <t>DO91817</t>
  </si>
  <si>
    <t>DO91818</t>
  </si>
  <si>
    <t>DO91819</t>
  </si>
  <si>
    <t>DO91820</t>
  </si>
  <si>
    <t>DO91821</t>
  </si>
  <si>
    <t>DO91822</t>
  </si>
  <si>
    <t>DO91823</t>
  </si>
  <si>
    <t>DO91824</t>
  </si>
  <si>
    <t>DO91825</t>
  </si>
  <si>
    <t>DO91826</t>
  </si>
  <si>
    <t>DO91827</t>
  </si>
  <si>
    <t>DO91828</t>
  </si>
  <si>
    <t>DO91829</t>
  </si>
  <si>
    <t>DO91830</t>
  </si>
  <si>
    <t>DO91831</t>
  </si>
  <si>
    <t>DO91832</t>
  </si>
  <si>
    <t>DO91833</t>
  </si>
  <si>
    <t>DO91834</t>
  </si>
  <si>
    <t>DO91835</t>
  </si>
  <si>
    <t>DO91836</t>
  </si>
  <si>
    <t>DO91837</t>
  </si>
  <si>
    <t>DO91737</t>
  </si>
  <si>
    <t>DO91738</t>
  </si>
  <si>
    <t>DO91739</t>
  </si>
  <si>
    <t>DO91741</t>
  </si>
  <si>
    <t>DO91742</t>
  </si>
  <si>
    <t>DO92662</t>
  </si>
  <si>
    <t>FR10732</t>
  </si>
  <si>
    <t>FR10728</t>
  </si>
  <si>
    <t>FR10752</t>
  </si>
  <si>
    <t>FR10734</t>
  </si>
  <si>
    <t>FR10794</t>
  </si>
  <si>
    <t>FR10793</t>
  </si>
  <si>
    <t>FR10795</t>
  </si>
  <si>
    <t>FR10796</t>
  </si>
  <si>
    <t>FR10792</t>
  </si>
  <si>
    <t>FR10908</t>
  </si>
  <si>
    <t>FR10909</t>
  </si>
  <si>
    <t>FR10910</t>
  </si>
  <si>
    <t>FR04499</t>
  </si>
  <si>
    <t>FR04485</t>
  </si>
  <si>
    <t>FR04518</t>
  </si>
  <si>
    <t>FR04538</t>
  </si>
  <si>
    <t>FR04544</t>
  </si>
  <si>
    <t>FR06484</t>
  </si>
  <si>
    <t>FR06475</t>
  </si>
  <si>
    <t>FR06485</t>
  </si>
  <si>
    <t>FR06403</t>
  </si>
  <si>
    <t>FR92280</t>
  </si>
  <si>
    <t>FR92457</t>
  </si>
  <si>
    <t>FR92453</t>
  </si>
  <si>
    <t>FR92747</t>
  </si>
  <si>
    <t>FR92670</t>
  </si>
  <si>
    <t>FR92669</t>
  </si>
  <si>
    <t>FR92997</t>
  </si>
  <si>
    <t>FR92998</t>
  </si>
  <si>
    <t>FR92999</t>
  </si>
  <si>
    <t>FR92824</t>
  </si>
  <si>
    <t>FR92820</t>
  </si>
  <si>
    <t>FR93000</t>
  </si>
  <si>
    <t>FR93001</t>
  </si>
  <si>
    <t>FR93002</t>
  </si>
  <si>
    <t>FR93003</t>
  </si>
  <si>
    <t xml:space="preserve">SC Option </t>
  </si>
  <si>
    <t>SSM 558</t>
  </si>
  <si>
    <t>SC98803</t>
  </si>
  <si>
    <t>SC98944</t>
  </si>
  <si>
    <t>SC98945</t>
  </si>
  <si>
    <t>SC98946</t>
  </si>
  <si>
    <t>SC99226</t>
  </si>
  <si>
    <t>SC99227</t>
  </si>
  <si>
    <t>DO91841</t>
  </si>
  <si>
    <t>DO91935</t>
  </si>
  <si>
    <t>DO91936</t>
  </si>
  <si>
    <t>DO91937</t>
  </si>
  <si>
    <t>DO92411</t>
  </si>
  <si>
    <t>DO92412</t>
  </si>
  <si>
    <t>FR93065</t>
  </si>
  <si>
    <t>Q10010.04</t>
  </si>
  <si>
    <t>Q10035.02</t>
  </si>
  <si>
    <t>Q10012.05</t>
  </si>
  <si>
    <t>Q10077.01</t>
  </si>
  <si>
    <t>Q10016.02</t>
  </si>
  <si>
    <t>Q10017.02</t>
  </si>
  <si>
    <t>Q10026.02</t>
  </si>
  <si>
    <t>Q10027.02</t>
  </si>
  <si>
    <t>Q10028.02</t>
  </si>
  <si>
    <t>Q10029.02</t>
  </si>
  <si>
    <t>Q10030.02</t>
  </si>
  <si>
    <t>Q10031.02</t>
  </si>
  <si>
    <t>Q10018.02</t>
  </si>
  <si>
    <t>Q10019.02</t>
  </si>
  <si>
    <t>Q10020.02</t>
  </si>
  <si>
    <t>Q10021.02</t>
  </si>
  <si>
    <t>Q10032.02</t>
  </si>
  <si>
    <t>Q10033.02</t>
  </si>
  <si>
    <t>Q10038.02</t>
  </si>
  <si>
    <t>Q10025.02</t>
  </si>
  <si>
    <t>Q10065.02</t>
  </si>
  <si>
    <t>Q10066.02</t>
  </si>
  <si>
    <t>Q10067.02</t>
  </si>
  <si>
    <t>Q10068.02</t>
  </si>
  <si>
    <t>Q10069.02</t>
  </si>
  <si>
    <t>Q10070.02</t>
  </si>
  <si>
    <t>Q10071.02</t>
  </si>
  <si>
    <t>Q10072.02</t>
  </si>
  <si>
    <t>Q10078.01</t>
  </si>
  <si>
    <t>Q10001.08</t>
  </si>
  <si>
    <t>Q10009.05</t>
  </si>
  <si>
    <t>Q10008.03</t>
  </si>
  <si>
    <t>Q10014.04</t>
  </si>
  <si>
    <t>Q10061.03</t>
  </si>
  <si>
    <t>Q10062.03</t>
  </si>
  <si>
    <t>Q10063.03</t>
  </si>
  <si>
    <t>Q10064.03</t>
  </si>
  <si>
    <t>Q10081.00</t>
  </si>
  <si>
    <t>Q10082.00</t>
  </si>
  <si>
    <t>Q10003.08</t>
  </si>
  <si>
    <t>Q10002.08</t>
  </si>
  <si>
    <t>Q10005.07</t>
  </si>
  <si>
    <t>Q10004.07</t>
  </si>
  <si>
    <t>Q50083.01</t>
  </si>
  <si>
    <t>Q50001.02</t>
  </si>
  <si>
    <t>Q50002.02</t>
  </si>
  <si>
    <t>Q50003.02</t>
  </si>
  <si>
    <t>Q50004.05</t>
  </si>
  <si>
    <t>Q50005.05</t>
  </si>
  <si>
    <t>Q50006.05</t>
  </si>
  <si>
    <t>Q10039.01</t>
  </si>
  <si>
    <t>Q10040.01</t>
  </si>
  <si>
    <t>Q10022.03</t>
  </si>
  <si>
    <t>Q10023.03</t>
  </si>
  <si>
    <t>Q10041.01</t>
  </si>
  <si>
    <t>Q10042.01</t>
  </si>
  <si>
    <t>Q50007.03</t>
  </si>
  <si>
    <t>Q50008.03</t>
  </si>
  <si>
    <t>Q50009.03</t>
  </si>
  <si>
    <t>Q50010.04</t>
  </si>
  <si>
    <t>Q50012.04</t>
  </si>
  <si>
    <t>Q50014.04</t>
  </si>
  <si>
    <t>Q50016.05</t>
  </si>
  <si>
    <t>Q50018.05</t>
  </si>
  <si>
    <t>Q50020.05</t>
  </si>
  <si>
    <t>Q50037.02</t>
  </si>
  <si>
    <t>Q50038.02</t>
  </si>
  <si>
    <t>Q50039.02</t>
  </si>
  <si>
    <t>Q50040.02</t>
  </si>
  <si>
    <t>Q50041.02</t>
  </si>
  <si>
    <t>Q50042.02</t>
  </si>
  <si>
    <t>Q10043.01</t>
  </si>
  <si>
    <t>Q10044.01</t>
  </si>
  <si>
    <t>Q10045.01</t>
  </si>
  <si>
    <t>Q10046.01</t>
  </si>
  <si>
    <t>Q10047.01</t>
  </si>
  <si>
    <t>Q10048.01</t>
  </si>
  <si>
    <t>Q10049.01</t>
  </si>
  <si>
    <t>Q10050.01</t>
  </si>
  <si>
    <t>Q10051.01</t>
  </si>
  <si>
    <t>Q10052.01</t>
  </si>
  <si>
    <t>Q10053.01</t>
  </si>
  <si>
    <t>Q10054.01</t>
  </si>
  <si>
    <t>Q10055.01</t>
  </si>
  <si>
    <t>Q10056.01</t>
  </si>
  <si>
    <t>Q10057.01</t>
  </si>
  <si>
    <t>Q10058.01</t>
  </si>
  <si>
    <t>Q10059.01</t>
  </si>
  <si>
    <t>Q10060.01</t>
  </si>
  <si>
    <t>Q50043.02</t>
  </si>
  <si>
    <t>Q50044.02</t>
  </si>
  <si>
    <t>Q50045.02</t>
  </si>
  <si>
    <t>Q50046.02</t>
  </si>
  <si>
    <t>Q50047.02</t>
  </si>
  <si>
    <t>Q10073.02</t>
  </si>
  <si>
    <t>Q50048.02</t>
  </si>
  <si>
    <t>Q50049.02</t>
  </si>
  <si>
    <t>Q50050.02</t>
  </si>
  <si>
    <t>Q50051.02</t>
  </si>
  <si>
    <t>Q50052.02</t>
  </si>
  <si>
    <t>Q50053.02</t>
  </si>
  <si>
    <t>Q50054.02</t>
  </si>
  <si>
    <t>Q50055.02</t>
  </si>
  <si>
    <t>Q50056.02</t>
  </si>
  <si>
    <t>Q50057.02</t>
  </si>
  <si>
    <t>Q50058.02</t>
  </si>
  <si>
    <t>Q50059.02</t>
  </si>
  <si>
    <t>Q50060.02</t>
  </si>
  <si>
    <t>Q50061.02</t>
  </si>
  <si>
    <t>Q50062.02</t>
  </si>
  <si>
    <t>Q50063.02</t>
  </si>
  <si>
    <t>Q50064.02</t>
  </si>
  <si>
    <t>Q50065.02</t>
  </si>
  <si>
    <t>Q50066.02</t>
  </si>
  <si>
    <t>Q50067.02</t>
  </si>
  <si>
    <t>Q50068.02</t>
  </si>
  <si>
    <t>Q50069.02</t>
  </si>
  <si>
    <t>Q50070.02</t>
  </si>
  <si>
    <t>Q50071.02</t>
  </si>
  <si>
    <t>Q50072.02</t>
  </si>
  <si>
    <t>Q50073.02</t>
  </si>
  <si>
    <t>Q50074.02</t>
  </si>
  <si>
    <t>Q50075.02</t>
  </si>
  <si>
    <t>Q50076.02</t>
  </si>
  <si>
    <t>Q50077.02</t>
  </si>
  <si>
    <t>Q50078.02</t>
  </si>
  <si>
    <t>Q50080.02</t>
  </si>
  <si>
    <t>Q50081.02</t>
  </si>
  <si>
    <t>Q50082.02</t>
  </si>
  <si>
    <t>Q10024.02</t>
  </si>
  <si>
    <t>Q10034.02</t>
  </si>
  <si>
    <t>Q10074.02</t>
  </si>
  <si>
    <t>Q10075.02</t>
  </si>
  <si>
    <t>Q10076.02</t>
  </si>
  <si>
    <t>Q50084.00</t>
  </si>
  <si>
    <t>Q10079.01</t>
  </si>
  <si>
    <t>Q10080.01</t>
  </si>
  <si>
    <t>DO01571</t>
  </si>
  <si>
    <t>485F0</t>
  </si>
  <si>
    <t>D253011CX03</t>
  </si>
  <si>
    <t>QSG GTA855</t>
  </si>
  <si>
    <t>QSG G855</t>
  </si>
  <si>
    <t>D251010CX03</t>
  </si>
  <si>
    <t>D483007CX03</t>
  </si>
  <si>
    <t>D553012CX03</t>
  </si>
  <si>
    <t>QSG GQSKTA19-CE</t>
  </si>
  <si>
    <t>QSG GCTAA8.3-C</t>
  </si>
  <si>
    <t>QSG G5.9-C</t>
  </si>
  <si>
    <t>D491015CX02</t>
  </si>
  <si>
    <t>QSG G8.3-C</t>
  </si>
  <si>
    <t>D551015CX03</t>
  </si>
  <si>
    <t>D253012GX03</t>
  </si>
  <si>
    <t>QSG GKTA19-GC</t>
  </si>
  <si>
    <t>D483008GX03</t>
  </si>
  <si>
    <t>QSG GQSKTA-38C</t>
  </si>
  <si>
    <t>D363002CX03</t>
  </si>
  <si>
    <t>QSG GTA8.9E</t>
  </si>
  <si>
    <t>D883003CX03</t>
  </si>
  <si>
    <t>Application</t>
  </si>
  <si>
    <t>CNGE</t>
  </si>
  <si>
    <t>Standby Rating: Speed Bias Enabled
2gram nox catalyst</t>
  </si>
  <si>
    <t>Continuous Rating: Speed Bias Enabled
2gram nox catalyst</t>
  </si>
  <si>
    <t>Standby Rating: Speed Bias Enabled
0.5gram nox catalyst</t>
  </si>
  <si>
    <t>Continuous Rating: Speed Bias Enabled
0.5gram nox catalyst</t>
  </si>
  <si>
    <t>Standby Rating: Speed Bias Disabled
2gram nox catalyst</t>
  </si>
  <si>
    <t>Continuous Rating: Speed Bias Disabled
2gram nox catalyst</t>
  </si>
  <si>
    <t>Standby Rating: Speed Bias Disabled
0.5gram nox catalyst</t>
  </si>
  <si>
    <t>Continuous Rating: Speed Bias Disabled
0.5gram nox catalyst</t>
  </si>
  <si>
    <t>GTA855E, SAE1 Flywheel, 383BHP@1800rpm, 0.5g(bhp-hr) NOX</t>
  </si>
  <si>
    <t>GTA855E, SAE1 Flywheel, 256BHP@1800rpm, 0.5g(bhp-hr) NOX</t>
  </si>
  <si>
    <t>GKTA19-GC, Lean burn, 2 pump/2 loop, 530BHP@1800rpm, 350KWe, 52C LT, 100C HT, &gt;900BTU/FT3, 2.0g (bhp-hr) NOX, 80MN min</t>
  </si>
  <si>
    <t>GKTA19-GC, Lean burn, 2 pump/2 loop, 420BHP@1800rpm, 270KWe, 52C LT, 100C HT, 32deg timing, &gt;900BTU/FT3, 2.0g (bhp-hr) NOX, 80MN min</t>
  </si>
  <si>
    <t>SEP/CNGE</t>
  </si>
  <si>
    <r>
      <t xml:space="preserve">Standby Rating: Speed Bias Disabled
</t>
    </r>
    <r>
      <rPr>
        <b/>
        <sz val="10"/>
        <rFont val="Arial"/>
        <family val="2"/>
      </rPr>
      <t>Lean Burn</t>
    </r>
  </si>
  <si>
    <r>
      <t xml:space="preserve">Standby Rating: Speed Bias Enabled
</t>
    </r>
    <r>
      <rPr>
        <b/>
        <sz val="10"/>
        <rFont val="Arial"/>
        <family val="2"/>
      </rPr>
      <t>Lean Burn</t>
    </r>
  </si>
  <si>
    <t>G855E SAE1 Flywheel, 118 tooth flywheel, 188BHP@1800rpm, 0.5g (bhp-hr) NOX</t>
  </si>
  <si>
    <t>G855E SAE1 Flywheel, 118 tooth flywheel, 157BHP@1500rpm, 0.5g (bhp-hr) NOX</t>
  </si>
  <si>
    <t>GTA855E, SAE1 Flywheel, 256BHP@1800rpm, 0.5g (bhp-hr) NOX, 118 tooth flywheel</t>
  </si>
  <si>
    <t>GTA855E, SAE1 Flywheel, 225BHP@1800rpm, 0.5g (bhp-hr) NOX, 118 tooth flywheel</t>
  </si>
  <si>
    <t>GQSKTA19, 142 tooth flywheel, 420BHP@1800rpm, lean burn, 52C LT, 94C HT, 48MN min, 100MN max, 830BTU-FT3 min, 1350BTU-FT3 max, 32 deg timing, 2.0g (bhp-hr) NOX</t>
  </si>
  <si>
    <t>GQSKTA19, 142 tooth flywheel, 380BHP@1800rpm, 52C LT, 94C HT, 40MN min, 120MN max, 650BTU-FT3 min, 1300BTU-FT3 max, 32 deg timing, 1.0g (bhp-hr) NOX</t>
  </si>
  <si>
    <t>GQSKTA19, 142 tooth flywheel, 380BHP@1800rpm, 52C LT, 94C HT, 40MN min, 120MN max, 650BTU-FT3 min, 1300BTU-FT3 max, 32 deg timing, 0.5g (bhp-hr) NOX</t>
  </si>
  <si>
    <t>GTA8.3, SAE3 Flywheel, 127 tooth flywheel, 175BHP@1800rpm</t>
  </si>
  <si>
    <t>GTA8.3, SAE1 Flywheel, 158 tooth flywheel, 175BHP@1800rpm</t>
  </si>
  <si>
    <t>GTA8.3. SAE2 Flywheel, 138 tooth flywheel, 175 BHP@1800rpm</t>
  </si>
  <si>
    <t>GQSKTA38, 168 tooth flywheel, 710BHP@1500rpm, lean burn, 55C LT, 90C HT, 45MN min, 100MN max, 25 deg timing, 2.0g (bhp-hr) NOX</t>
  </si>
  <si>
    <t>GQSKTA38, 168 tooth flywheel, 635BHP@1500rpm, 55C LT, 90C HT, 45MN min, 100MN max, 32 deg timing, 13.0g (bhp-hr) NOX</t>
  </si>
  <si>
    <t>GQSKTA38, 168 tooth flywheel, 760BHP@1500rpm, 55C LT, 85C HT, 45MN min, 100MN max, 35 deg timing, 13.0g (bhp-hr) NOX</t>
  </si>
  <si>
    <t>GQSKTA38, 168 tooth flywheel, 850BHP@1800rpm, lean burn, 55C LT, 90C HT, 45MN min, 100MN max, 35 deg timing, 2.0g (bhp-hr) NOX</t>
  </si>
  <si>
    <t>G5.9, SAE2 Flywheel, 138 tooth flywheel, 99BHP@2200rpm, 2.0g (bhp-hr) NOX</t>
  </si>
  <si>
    <t>G5.9, SAE3 Flywheel, 127 tooth flywheel, 99BHP@2200rpm, 2.0g (bhp-hr) NOX</t>
  </si>
  <si>
    <t>G5.9, SAE2 Flywheel, 138 tooth flywheel, 84BHP@1800rpm, 2.0g (bhp-hr) NOX</t>
  </si>
  <si>
    <t>G5.9, SAE3 Flywheel, 127 tooth flywheel, 84BHP@1800rpm, 2.0g (bhp-hr) NOX</t>
  </si>
  <si>
    <t>G5.9, SAE2 flywheel, 138 tooth flywheel, 70BHP@1500rpm, 2.0g (bhp-hr) NOX</t>
  </si>
  <si>
    <t>G5.9, SAE3 flywheel, 127 tooth flywheel, 70BHP@1500rpm, 2.0g (bhp-hr) NOX</t>
  </si>
  <si>
    <t>G5.9, SAE2 Flywheel, 138 tooth flywheel, 99BHP@2200rpm, 0.5g (bhp-hr) NOX</t>
  </si>
  <si>
    <t>G5.9, SAE3 Flywheel, 127 tooth flywheel, 99BHP@2200rpm, 0.5g (bhp-hr) NOX</t>
  </si>
  <si>
    <t>G5.9, SAE2 Flywheel, 138 tooth flywheel, 84BHP@1800rpm, 0.5g (bhp-hr) NOX</t>
  </si>
  <si>
    <t>G5.9, SAE3 Flywheel, 127 tooth flywheel, 84BHP@1800rpm, 0.5g (bhp-hr) NOX</t>
  </si>
  <si>
    <t>G5.9, SAE2 Flywheel, 138 tooth flywheel, 70BHP@1500rpm, 0.5g (bhp-hr) NOX</t>
  </si>
  <si>
    <t>G5.9, SAE3 Flywheel, 127 tooth flywheel, 70BHP@1500rpm, 0.5g (bhp-hr) NOX</t>
  </si>
  <si>
    <t>GTA8.9, SAE2 flywheel, 138 tooth flywheel, 175BHP@1800rpm, 0.5g (bhp-hr) NOX</t>
  </si>
  <si>
    <t>GTA8.9, SAE3 flywheel, 127 tooth flywheel, 175BHP@1800rpm, 0.5g (bhp-hr) NOX</t>
  </si>
  <si>
    <t>GTA8.9, SAE1 flywheel, 158 tooth flywheel, 175BHP@1800rpm, 0.5g (bhp-hr) NOX</t>
  </si>
  <si>
    <t>QSL9G, SAE3 flywheel, 127 tooth flywheel, 175BHP@1800rpm, 0.5g (bhp-hr) NOX</t>
  </si>
  <si>
    <t>G8.3, SAE1 Flywheel, 158 tooth flywheel, 99BHP@1500rpm, 0.5g (hp-hr) NOX</t>
  </si>
  <si>
    <t>G8.3, SAE2 Flywheel, 138 tooth flywheel, 99BHP@1500rpm, 0.5g (hp-hr) NOX</t>
  </si>
  <si>
    <t>G8.3, SAE3 Flywheel, 127 tooth flywheel, 99BHP@1500rpm, 0.5g (hp-hr) NOX</t>
  </si>
  <si>
    <t>G8.3, SAE1 Flywheel, 158 tooth flywheel, 118BHP@1800rpm, 0.5g (hp-hr) NOX</t>
  </si>
  <si>
    <t>G8.3, SAE2 Flywheel, 138 tooth flywheel, 118BHP@1800rpm, 0.5g (hp-hr) NOX</t>
  </si>
  <si>
    <t>G8.3, SAE3 Flywheel, 127 tooth flywheel, 118BHP@1800rpm, 0.5g (hp-hr) NOX</t>
  </si>
  <si>
    <t>Power Generation</t>
  </si>
  <si>
    <t>Industrial</t>
  </si>
  <si>
    <t>Continuous Rating: Speed Bias Enabled
0 - 5V</t>
  </si>
  <si>
    <t>Continuous Rating: Speed Bias Enabled
4 - 20mA</t>
  </si>
  <si>
    <t>Continuous Rating: Speed Bias Enabled Voltage</t>
  </si>
  <si>
    <t>Continuous Rating: Speed Bias Enabled Current</t>
  </si>
  <si>
    <t>Continuous Rating: Speed Bias Disabled</t>
  </si>
  <si>
    <r>
      <t xml:space="preserve">Standby Rating: Speed Bias Enabled 0 - 5V
</t>
    </r>
    <r>
      <rPr>
        <b/>
        <sz val="10"/>
        <rFont val="Arial"/>
        <family val="2"/>
      </rPr>
      <t>Lean Burn</t>
    </r>
  </si>
  <si>
    <r>
      <t xml:space="preserve">Continous Rating: Speed Bias Enabled 0 - 5V
</t>
    </r>
    <r>
      <rPr>
        <b/>
        <sz val="10"/>
        <rFont val="Arial"/>
        <family val="2"/>
      </rPr>
      <t>Lean Burn</t>
    </r>
  </si>
  <si>
    <r>
      <t xml:space="preserve">Continous Rating: Speed Bias Disabled
</t>
    </r>
    <r>
      <rPr>
        <b/>
        <sz val="10"/>
        <rFont val="Arial"/>
        <family val="2"/>
      </rPr>
      <t>Lean Burn</t>
    </r>
  </si>
  <si>
    <t>Continous Rating: Speed Bias Disabled
Catalyst</t>
  </si>
  <si>
    <r>
      <rPr>
        <sz val="10"/>
        <rFont val="Arial"/>
        <family val="2"/>
      </rPr>
      <t>Continous rating: Speed Bias Disabled</t>
    </r>
    <r>
      <rPr>
        <b/>
        <sz val="10"/>
        <rFont val="Arial"/>
        <family val="2"/>
      </rPr>
      <t xml:space="preserve"> Lean Burn</t>
    </r>
  </si>
  <si>
    <r>
      <rPr>
        <sz val="10"/>
        <rFont val="Arial"/>
        <family val="2"/>
      </rPr>
      <t>Continous rating: Speed Bias Disabled</t>
    </r>
    <r>
      <rPr>
        <b/>
        <sz val="10"/>
        <rFont val="Arial"/>
        <family val="2"/>
      </rPr>
      <t xml:space="preserve"> Catalyst</t>
    </r>
  </si>
  <si>
    <t>Continuous Rating: Speed Bias Enabled 0 - 5V</t>
  </si>
  <si>
    <t>G8.3, SAE1 Flywheel, 158 tooth flywheel, 99BHP@1500rpm, 1.0g (hp-hr) NOX</t>
  </si>
  <si>
    <t>G8.3, SAE2 Flywheel, 138 tooth flywheel, 99BHP@1500rpm, 1.0g (hp-hr) NOX</t>
  </si>
  <si>
    <t>G8.3, SAE3 Flywheel, 127 tooth flywheel, 99BHP@1500rpm, 1.0g (hp-hr) NOX</t>
  </si>
  <si>
    <t>G8.3, SAE1 Flywheel, 158 tooth flywheel, 118BHP@1800rpm, 1.0g (hp-hr) NOX</t>
  </si>
  <si>
    <t>G8.3, SAE2 Flywheel, 138 tooth flywheel, 118BHP@1800rpm, 1.0g (hp-hr) NOX</t>
  </si>
  <si>
    <t>G8.3, SAE3 Flywheel, 127 tooth flywheel, 118BHP@1800rpm, 1.0g (hp-hr) NOX</t>
  </si>
  <si>
    <t>G8.3, SAE1 Flywheel, 158 tooth flywheel, 99BHP@1500rpm, 1.0g (bhp-hr) NOX</t>
  </si>
  <si>
    <t>G8.3, SAE2 Flywheel, 138 tooth flywheel, 99BHP@1500rpm, 1.0g (bhp-hr) NOX</t>
  </si>
  <si>
    <t>G8.3, SAE3 Flywheel, 127 tooth flywheel, 99BHP@1500rpm, 1.0g (bhp-hr) NOX</t>
  </si>
  <si>
    <t>G855E, SAE1 Flywheel, 118 tooth flywheel, 188BHP@1800rpm, 1.0g (bhp-hr) NOX</t>
  </si>
  <si>
    <t>G855E, SAE1 Flywheel, 118 tooth flywheel, 157BHP@1500rpm, 1.0g (bhp-hr) NOX</t>
  </si>
  <si>
    <t>GTA855, SAE1 Flywheel, 225BHP@1800rpm, 1.0g (bhp-hr) NOX, 118 tooth flywheel</t>
  </si>
  <si>
    <t>G855E, SAE1 Flywheel, 118 tooth flywheel, 256BHP@1800rpm, 1.0g (bhp-hr) NOX</t>
  </si>
  <si>
    <t>GTA855E, SAE1 Flywheel, 383BHP@1800rpm, 1.0g(bhp-hr) NOX</t>
  </si>
  <si>
    <t>GTA855E, SAE1 Flywheel, 256BHP@1800rpm, 1.0g(bhp-hr) NOX</t>
  </si>
  <si>
    <t>PCC 3300, Multiplexed</t>
  </si>
  <si>
    <t>PCC 2300, Hardwired</t>
  </si>
  <si>
    <t>3426369, 4954429</t>
  </si>
  <si>
    <t>FR06627</t>
  </si>
  <si>
    <t xml:space="preserve"> P70027.07</t>
  </si>
  <si>
    <t xml:space="preserve"> P70029.07</t>
  </si>
  <si>
    <t xml:space="preserve"> P70030.07</t>
  </si>
  <si>
    <t>FR06583</t>
  </si>
  <si>
    <t xml:space="preserve"> P70031.07</t>
  </si>
  <si>
    <t xml:space="preserve"> P70032.07</t>
  </si>
  <si>
    <t>FR06584</t>
  </si>
  <si>
    <t xml:space="preserve"> P70033.07</t>
  </si>
  <si>
    <t xml:space="preserve"> P70034.07</t>
  </si>
  <si>
    <t>FR06585</t>
  </si>
  <si>
    <t xml:space="preserve"> P70035.07</t>
  </si>
  <si>
    <t>D673003GX03</t>
  </si>
  <si>
    <t>DO0716</t>
  </si>
  <si>
    <t>FR07264</t>
  </si>
  <si>
    <t>PJ07740 PJ07741</t>
  </si>
  <si>
    <t xml:space="preserve"> P10054.11</t>
  </si>
  <si>
    <t>D673001GX03</t>
  </si>
  <si>
    <t>FR07272</t>
  </si>
  <si>
    <t xml:space="preserve"> P10053.11</t>
  </si>
  <si>
    <t>FR07235</t>
  </si>
  <si>
    <t>FR07279</t>
  </si>
  <si>
    <t>SC07736</t>
  </si>
  <si>
    <t>DO07725</t>
  </si>
  <si>
    <t>FR07268</t>
  </si>
  <si>
    <t xml:space="preserve"> P10098.07</t>
  </si>
  <si>
    <t>PCC 3300, Hardwired</t>
  </si>
  <si>
    <t>QSV81-G</t>
  </si>
  <si>
    <t>D663001GX03</t>
  </si>
  <si>
    <t>SC07749</t>
  </si>
  <si>
    <t>DO07013</t>
  </si>
  <si>
    <t>FR07131</t>
  </si>
  <si>
    <t>PJ07734 PJ07733</t>
  </si>
  <si>
    <r>
      <t xml:space="preserve">QSV81, 1370kW, 50Hz, 1500rpm, 14bar, 11.4CR, 50C LT
     </t>
    </r>
    <r>
      <rPr>
        <u/>
        <sz val="11"/>
        <color theme="1"/>
        <rFont val="Calibri"/>
        <family val="2"/>
        <scheme val="minor"/>
      </rPr>
      <t>TH7043</t>
    </r>
    <r>
      <rPr>
        <sz val="10"/>
        <rFont val="Arial"/>
        <family val="2"/>
      </rPr>
      <t xml:space="preserve"> 95C HT, 500mg/Nm3 NOx, 60MN</t>
    </r>
  </si>
  <si>
    <t>Pre-Synergy PCC3100</t>
  </si>
  <si>
    <t>AI10050.11</t>
  </si>
  <si>
    <t>SC07775</t>
  </si>
  <si>
    <t>SC07773</t>
  </si>
  <si>
    <t>FR07167</t>
  </si>
  <si>
    <r>
      <t xml:space="preserve">QSV81, 1100kW, 60Hz, 1200rpm, bar, 11.4CR, 50C LT
     </t>
    </r>
    <r>
      <rPr>
        <u/>
        <sz val="11"/>
        <color theme="1"/>
        <rFont val="Calibri"/>
        <family val="2"/>
        <scheme val="minor"/>
      </rPr>
      <t>TH7046</t>
    </r>
    <r>
      <rPr>
        <sz val="10"/>
        <rFont val="Arial"/>
        <family val="2"/>
      </rPr>
      <t xml:space="preserve"> 98C HT, 0.5g/Hp-hr NOx, 60MN</t>
    </r>
  </si>
  <si>
    <t>SC07806</t>
  </si>
  <si>
    <t>SC07762</t>
  </si>
  <si>
    <t>FR07233</t>
  </si>
  <si>
    <t>PJ07749 PJ07748</t>
  </si>
  <si>
    <r>
      <t xml:space="preserve">QSV81, 1370kW, 50Hz, 1500rpm, 14bar, 12CR, 50C LT
     </t>
    </r>
    <r>
      <rPr>
        <u/>
        <sz val="11"/>
        <color theme="1"/>
        <rFont val="Calibri"/>
        <family val="2"/>
        <scheme val="minor"/>
      </rPr>
      <t>TH7043</t>
    </r>
    <r>
      <rPr>
        <sz val="10"/>
        <rFont val="Arial"/>
        <family val="2"/>
      </rPr>
      <t xml:space="preserve"> 95C HT, 350mg/Nm3 NOx, 70MN</t>
    </r>
  </si>
  <si>
    <t>AI10052.11</t>
  </si>
  <si>
    <t>SC07801</t>
  </si>
  <si>
    <t>SC07750</t>
  </si>
  <si>
    <t>FR07234</t>
  </si>
  <si>
    <r>
      <t xml:space="preserve">QSV81, 1370kW, 50Hz, 1500rpm, 14bar, 12CR, 50C LT
     </t>
    </r>
    <r>
      <rPr>
        <u/>
        <sz val="11"/>
        <color theme="1"/>
        <rFont val="Calibri"/>
        <family val="2"/>
        <scheme val="minor"/>
      </rPr>
      <t>TH7047</t>
    </r>
    <r>
      <rPr>
        <sz val="10"/>
        <rFont val="Arial"/>
        <family val="2"/>
      </rPr>
      <t xml:space="preserve"> 110C HT, 350mg/Nm3 NOx, 73 MN</t>
    </r>
  </si>
  <si>
    <t>SC07803</t>
  </si>
  <si>
    <t>SC07727</t>
  </si>
  <si>
    <t>FR07236</t>
  </si>
  <si>
    <r>
      <t xml:space="preserve">QSV81, 1100kW, 60Hz, 1200rpm, 14bar, 12CR, 50C LT
     </t>
    </r>
    <r>
      <rPr>
        <u/>
        <sz val="11"/>
        <color theme="1"/>
        <rFont val="Calibri"/>
        <family val="2"/>
        <scheme val="minor"/>
      </rPr>
      <t>TH7043</t>
    </r>
    <r>
      <rPr>
        <sz val="10"/>
        <rFont val="Arial"/>
        <family val="2"/>
      </rPr>
      <t xml:space="preserve"> 95C HT, 1.2g/Hp-hr NOx, 70MN</t>
    </r>
  </si>
  <si>
    <t xml:space="preserve"> P10032.07</t>
  </si>
  <si>
    <t>SC07777</t>
  </si>
  <si>
    <t xml:space="preserve"> P10064.11</t>
  </si>
  <si>
    <t>SC07764</t>
  </si>
  <si>
    <t>FR07238</t>
  </si>
  <si>
    <r>
      <t xml:space="preserve">QSV81, 1370kW, 50Hz, 1500rpm, 14bar, 12CR, 50C LT
     </t>
    </r>
    <r>
      <rPr>
        <u/>
        <sz val="11"/>
        <color theme="1"/>
        <rFont val="Calibri"/>
        <family val="2"/>
        <scheme val="minor"/>
      </rPr>
      <t>TH7043</t>
    </r>
    <r>
      <rPr>
        <sz val="10"/>
        <rFont val="Arial"/>
        <family val="2"/>
      </rPr>
      <t xml:space="preserve"> 95C HT, 500mg/Nm3 NOx, 70MN</t>
    </r>
  </si>
  <si>
    <t>SC07776</t>
  </si>
  <si>
    <t>SC07765</t>
  </si>
  <si>
    <t>FR07240</t>
  </si>
  <si>
    <r>
      <t xml:space="preserve">QSV81, 1370kW, 50Hz, 1500rpm, 14bar, 12CR, 50C LT
     </t>
    </r>
    <r>
      <rPr>
        <u/>
        <sz val="11"/>
        <color theme="1"/>
        <rFont val="Calibri"/>
        <family val="2"/>
        <scheme val="minor"/>
      </rPr>
      <t>TH7047</t>
    </r>
    <r>
      <rPr>
        <sz val="10"/>
        <rFont val="Arial"/>
        <family val="2"/>
      </rPr>
      <t xml:space="preserve"> 110C HT, 500mg/Nm3 NOx, 73MN</t>
    </r>
  </si>
  <si>
    <t xml:space="preserve"> P10031.07</t>
  </si>
  <si>
    <t>SC07805</t>
  </si>
  <si>
    <t xml:space="preserve"> P10077.11</t>
  </si>
  <si>
    <t>SC07763</t>
  </si>
  <si>
    <t>FR07250</t>
  </si>
  <si>
    <r>
      <t xml:space="preserve">QSV81, 1370kW, 50Hz, 1500rpm, 14bar, 10.5CR, 50C LT
     </t>
    </r>
    <r>
      <rPr>
        <u/>
        <sz val="11"/>
        <color theme="1"/>
        <rFont val="Calibri"/>
        <family val="2"/>
        <scheme val="minor"/>
      </rPr>
      <t>TH7043</t>
    </r>
    <r>
      <rPr>
        <sz val="10"/>
        <rFont val="Arial"/>
        <family val="2"/>
      </rPr>
      <t xml:space="preserve"> 95C HT, 500mg/Nm3 NOx, 52MN</t>
    </r>
  </si>
  <si>
    <t>SC07804</t>
  </si>
  <si>
    <t>SC07733</t>
  </si>
  <si>
    <t>FR07251</t>
  </si>
  <si>
    <t>PJ07738 PJ07737</t>
  </si>
  <si>
    <r>
      <t xml:space="preserve">QSV81, 1570kW, 50Hz, 1500rpm, 16bar, 12CR, 50C LT
     </t>
    </r>
    <r>
      <rPr>
        <u/>
        <sz val="11"/>
        <color theme="1"/>
        <rFont val="Calibri"/>
        <family val="2"/>
        <scheme val="minor"/>
      </rPr>
      <t>TH7043</t>
    </r>
    <r>
      <rPr>
        <sz val="10"/>
        <rFont val="Arial"/>
        <family val="2"/>
      </rPr>
      <t xml:space="preserve"> 95C HT, 500mg/Nm3 NOx, 77MN</t>
    </r>
  </si>
  <si>
    <t xml:space="preserve"> P10050.08</t>
  </si>
  <si>
    <t>AI10049.11</t>
  </si>
  <si>
    <t>AI10053.11</t>
  </si>
  <si>
    <t>SC07778</t>
  </si>
  <si>
    <t xml:space="preserve"> P10062.12</t>
  </si>
  <si>
    <t>SC07737</t>
  </si>
  <si>
    <t>FR07256</t>
  </si>
  <si>
    <r>
      <t xml:space="preserve">QSV81, 1570kW, 50Hz, 1500rpm, 16bar, 11.4CR, 50C LT
     </t>
    </r>
    <r>
      <rPr>
        <u/>
        <sz val="11"/>
        <color theme="1"/>
        <rFont val="Calibri"/>
        <family val="2"/>
        <scheme val="minor"/>
      </rPr>
      <t>TH7043</t>
    </r>
    <r>
      <rPr>
        <sz val="10"/>
        <rFont val="Arial"/>
        <family val="2"/>
      </rPr>
      <t xml:space="preserve"> 95C HT, 500mg/Nm3 NOx, 67MN</t>
    </r>
  </si>
  <si>
    <t xml:space="preserve"> P10049.08</t>
  </si>
  <si>
    <t>SC07779</t>
  </si>
  <si>
    <t xml:space="preserve"> P10061.12</t>
  </si>
  <si>
    <t>SC07742</t>
  </si>
  <si>
    <t>FR07261</t>
  </si>
  <si>
    <t xml:space="preserve"> P10033.07</t>
  </si>
  <si>
    <t>SC07807</t>
  </si>
  <si>
    <t xml:space="preserve"> P10082.11</t>
  </si>
  <si>
    <t>SC07769</t>
  </si>
  <si>
    <t>FR07277</t>
  </si>
  <si>
    <r>
      <t xml:space="preserve">QSV81, 1370kW, 50Hz, 1500rpm, 14bar, 11.4CR, 50C LT
     </t>
    </r>
    <r>
      <rPr>
        <u/>
        <sz val="11"/>
        <color theme="1"/>
        <rFont val="Calibri"/>
        <family val="2"/>
        <scheme val="minor"/>
      </rPr>
      <t>TH7043</t>
    </r>
    <r>
      <rPr>
        <sz val="10"/>
        <rFont val="Arial"/>
        <family val="2"/>
      </rPr>
      <t xml:space="preserve"> 95C HT, 350mg/Nm3 NOx, 60MN</t>
    </r>
  </si>
  <si>
    <t>SC07802</t>
  </si>
  <si>
    <t>SC07774</t>
  </si>
  <si>
    <t>FR07280</t>
  </si>
  <si>
    <r>
      <t xml:space="preserve">QSV81, 1100kW, 60Hz, 1200rpm, 14bar, 12CR, 50C LT
     </t>
    </r>
    <r>
      <rPr>
        <u/>
        <sz val="11"/>
        <color theme="1"/>
        <rFont val="Calibri"/>
        <family val="2"/>
        <scheme val="minor"/>
      </rPr>
      <t>TH7047</t>
    </r>
    <r>
      <rPr>
        <sz val="10"/>
        <rFont val="Arial"/>
        <family val="2"/>
      </rPr>
      <t xml:space="preserve"> 110C HT, 0.7g/Hp-hr NOx, 73MN</t>
    </r>
  </si>
  <si>
    <t xml:space="preserve"> P10035.07</t>
  </si>
  <si>
    <t>SC07808</t>
  </si>
  <si>
    <t xml:space="preserve"> P10081.11</t>
  </si>
  <si>
    <t>SC07810</t>
  </si>
  <si>
    <t>FR07283</t>
  </si>
  <si>
    <r>
      <t xml:space="preserve">QSV81, 1370kW, 50Hz, 1500rpm, 14bar, 12CR, 50C LT
     </t>
    </r>
    <r>
      <rPr>
        <u/>
        <sz val="11"/>
        <color theme="1"/>
        <rFont val="Calibri"/>
        <family val="2"/>
        <scheme val="minor"/>
      </rPr>
      <t>TH7047</t>
    </r>
    <r>
      <rPr>
        <sz val="10"/>
        <rFont val="Arial"/>
        <family val="2"/>
      </rPr>
      <t xml:space="preserve"> 110C HT, 350mg/Nm3 NOx, 73MN</t>
    </r>
  </si>
  <si>
    <t xml:space="preserve"> P10084.11</t>
  </si>
  <si>
    <t>SC07811</t>
  </si>
  <si>
    <t>FR07284</t>
  </si>
  <si>
    <r>
      <t xml:space="preserve">QSV81, 1370kW, 50Hz, 1500rpm, 14bar, 11.4CR, 50C LT
     </t>
    </r>
    <r>
      <rPr>
        <u/>
        <sz val="11"/>
        <color theme="1"/>
        <rFont val="Calibri"/>
        <family val="2"/>
        <scheme val="minor"/>
      </rPr>
      <t>TH7047</t>
    </r>
    <r>
      <rPr>
        <sz val="10"/>
        <rFont val="Arial"/>
        <family val="2"/>
      </rPr>
      <t xml:space="preserve"> 110C HT, 500mg/Nm3 NOx, 63MN</t>
    </r>
  </si>
  <si>
    <t xml:space="preserve"> P10083.11</t>
  </si>
  <si>
    <t>SC07833</t>
  </si>
  <si>
    <t>FR07304</t>
  </si>
  <si>
    <r>
      <t xml:space="preserve">QSV81, 1570kW, 50Hz, 1500rpm, 16bar, 12CR, 50C LT
     </t>
    </r>
    <r>
      <rPr>
        <u/>
        <sz val="11"/>
        <color theme="1"/>
        <rFont val="Calibri"/>
        <family val="2"/>
        <scheme val="minor"/>
      </rPr>
      <t>TH7047</t>
    </r>
    <r>
      <rPr>
        <sz val="10"/>
        <rFont val="Arial"/>
        <family val="2"/>
      </rPr>
      <t xml:space="preserve"> 110C HT, 500mg/Nm3 NOx, 80MN</t>
    </r>
  </si>
  <si>
    <t xml:space="preserve"> P10116.05</t>
  </si>
  <si>
    <t>QSV81-G2</t>
  </si>
  <si>
    <t>D663002GX03</t>
  </si>
  <si>
    <t>SC07822</t>
  </si>
  <si>
    <t>FR07265</t>
  </si>
  <si>
    <t>PJ07718 PJ07717</t>
  </si>
  <si>
    <r>
      <t xml:space="preserve">QSV81, 1570kW, 50Hz, 1500rpm, 16bar, 12CR, 50C LT
     </t>
    </r>
    <r>
      <rPr>
        <u/>
        <sz val="11"/>
        <color theme="1"/>
        <rFont val="Calibri"/>
        <family val="2"/>
        <scheme val="minor"/>
      </rPr>
      <t>TH7047</t>
    </r>
    <r>
      <rPr>
        <sz val="10"/>
        <rFont val="Arial"/>
        <family val="2"/>
      </rPr>
      <t xml:space="preserve"> 110C HT, 500mg/Nm3 NOx, 80MN, LowBTU</t>
    </r>
  </si>
  <si>
    <t xml:space="preserve"> P10097.10</t>
  </si>
  <si>
    <t>SC07828</t>
  </si>
  <si>
    <t>FR07300</t>
  </si>
  <si>
    <r>
      <t xml:space="preserve">QSV81, 1570kW, 50Hz, 1500rpm, 16bar, 11.4CR, 50C LT
     </t>
    </r>
    <r>
      <rPr>
        <u/>
        <sz val="11"/>
        <color theme="1"/>
        <rFont val="Calibri"/>
        <family val="2"/>
        <scheme val="minor"/>
      </rPr>
      <t>TH7047</t>
    </r>
    <r>
      <rPr>
        <sz val="10"/>
        <rFont val="Arial"/>
        <family val="2"/>
      </rPr>
      <t xml:space="preserve"> 110C HT, 500mg/Nm3 NOx, 70MN, LowBTU</t>
    </r>
  </si>
  <si>
    <t xml:space="preserve"> P10107.05</t>
  </si>
  <si>
    <t>PJ07709 PJ07710</t>
  </si>
  <si>
    <t>DO07012</t>
  </si>
  <si>
    <t>SC07751</t>
  </si>
  <si>
    <t>SC07752</t>
  </si>
  <si>
    <t>SC07753</t>
  </si>
  <si>
    <t>SC07754</t>
  </si>
  <si>
    <t>PJ07711 PJ07712</t>
  </si>
  <si>
    <t>SC07756</t>
  </si>
  <si>
    <t>SC07757</t>
  </si>
  <si>
    <t>PJ07713 PJ07714</t>
  </si>
  <si>
    <t>SC07747</t>
  </si>
  <si>
    <t>SC07758</t>
  </si>
  <si>
    <t>SC07759</t>
  </si>
  <si>
    <t>SC07760</t>
  </si>
  <si>
    <t>SC07761</t>
  </si>
  <si>
    <t>PJ07715 PJ07716</t>
  </si>
  <si>
    <t>SC07722</t>
  </si>
  <si>
    <t>SC07723</t>
  </si>
  <si>
    <t>SC07755</t>
  </si>
  <si>
    <t>PJ07729 PJ07730</t>
  </si>
  <si>
    <t>SC07705</t>
  </si>
  <si>
    <t>SC07728</t>
  </si>
  <si>
    <t>SC07730</t>
  </si>
  <si>
    <t>SC07734</t>
  </si>
  <si>
    <t>PJ07731 PJ07732</t>
  </si>
  <si>
    <t>SC07772</t>
  </si>
  <si>
    <t>PJ07723 PJ07724</t>
  </si>
  <si>
    <t>PJ07772 PJ07773</t>
  </si>
  <si>
    <t>PJ07774 PJ07775</t>
  </si>
  <si>
    <t>PJ07776 PJ07777</t>
  </si>
  <si>
    <t>PJ07782 PJ07783</t>
  </si>
  <si>
    <t>PJ07784 PJ07785</t>
  </si>
  <si>
    <t>PJ07786 PJ07787</t>
  </si>
  <si>
    <r>
      <t xml:space="preserve">QSV81, 1100kW, 60Hz, 1200rpm, 14bar, 12CR, 50C LT
     </t>
    </r>
    <r>
      <rPr>
        <u/>
        <sz val="11"/>
        <color theme="1"/>
        <rFont val="Calibri"/>
        <family val="2"/>
        <scheme val="minor"/>
      </rPr>
      <t>TH7047</t>
    </r>
    <r>
      <rPr>
        <sz val="10"/>
        <rFont val="Arial"/>
        <family val="2"/>
      </rPr>
      <t xml:space="preserve"> 110C HT, 0.5g/Hp-hr NOx, 78MN</t>
    </r>
  </si>
  <si>
    <r>
      <t xml:space="preserve">QSV91, 1750kW, 50Hz, 1500rpm, 16bar, 12CR, 50C LT
     </t>
    </r>
    <r>
      <rPr>
        <u/>
        <sz val="10"/>
        <rFont val="Arial"/>
        <family val="2"/>
      </rPr>
      <t>TH7047</t>
    </r>
    <r>
      <rPr>
        <sz val="10"/>
        <rFont val="Arial"/>
        <family val="2"/>
      </rPr>
      <t xml:space="preserve"> 110C HT, 500mg/Nm3 NOx, 80MN</t>
    </r>
  </si>
  <si>
    <r>
      <t xml:space="preserve">QSV91, 1750kW, 60Hz, 1514rpm &amp; GearBox, 16bar, 12CR, 50C LT
     </t>
    </r>
    <r>
      <rPr>
        <u/>
        <sz val="10"/>
        <rFont val="Arial"/>
        <family val="2"/>
      </rPr>
      <t>TH7047</t>
    </r>
    <r>
      <rPr>
        <sz val="10"/>
        <rFont val="Arial"/>
        <family val="2"/>
      </rPr>
      <t xml:space="preserve"> 110C HT, 350mg/Nm3 NOx, 77MN</t>
    </r>
  </si>
  <si>
    <r>
      <t xml:space="preserve">QSV91, 1750kW, 60Hz, 1514rpm &amp; GearBox, 16bar, 12CR, 50C LT
     </t>
    </r>
    <r>
      <rPr>
        <u/>
        <sz val="10"/>
        <rFont val="Arial"/>
        <family val="2"/>
      </rPr>
      <t>TH7047</t>
    </r>
    <r>
      <rPr>
        <sz val="10"/>
        <rFont val="Arial"/>
        <family val="2"/>
      </rPr>
      <t xml:space="preserve"> 110C HT, 500mg/Nm3 NOx, 80MN</t>
    </r>
  </si>
  <si>
    <r>
      <t xml:space="preserve">QSV91, 1250kW, 60Hz, 1200rpm, 14bar, 12CR, 50C LT
     </t>
    </r>
    <r>
      <rPr>
        <u/>
        <sz val="10"/>
        <rFont val="Arial"/>
        <family val="2"/>
      </rPr>
      <t>TH7047</t>
    </r>
    <r>
      <rPr>
        <sz val="10"/>
        <rFont val="Arial"/>
        <family val="2"/>
      </rPr>
      <t xml:space="preserve"> 110C HT, 500mg/Nm3 NOx, 73MN</t>
    </r>
  </si>
  <si>
    <r>
      <t xml:space="preserve">QSV91, 1250kW, 60Hz, 1200rpm, 14bar, 11.4CR, 50C LT
     </t>
    </r>
    <r>
      <rPr>
        <u/>
        <sz val="10"/>
        <rFont val="Arial"/>
        <family val="2"/>
      </rPr>
      <t>TH7043</t>
    </r>
    <r>
      <rPr>
        <sz val="10"/>
        <rFont val="Arial"/>
        <family val="2"/>
      </rPr>
      <t xml:space="preserve"> 95C HT, 500mg/Nm3 NOx, 60MN</t>
    </r>
  </si>
  <si>
    <r>
      <t xml:space="preserve">QSV91, 1250kW, 60Hz, 1200rpm, 14bar, 12CR, 50C LT
     </t>
    </r>
    <r>
      <rPr>
        <u/>
        <sz val="10"/>
        <rFont val="Arial"/>
        <family val="2"/>
      </rPr>
      <t>TH7047</t>
    </r>
    <r>
      <rPr>
        <sz val="10"/>
        <rFont val="Arial"/>
        <family val="2"/>
      </rPr>
      <t xml:space="preserve"> 110C HT, 350mg/Nm3 NOx, 73MN</t>
    </r>
  </si>
  <si>
    <r>
      <t xml:space="preserve">QSV91, 1250kW, 60Hz, 1200rpm, 14bar, 12CR, 50C LT
     </t>
    </r>
    <r>
      <rPr>
        <u/>
        <sz val="10"/>
        <rFont val="Arial"/>
        <family val="2"/>
      </rPr>
      <t>TH7043</t>
    </r>
    <r>
      <rPr>
        <sz val="10"/>
        <rFont val="Arial"/>
        <family val="2"/>
      </rPr>
      <t xml:space="preserve"> 95C HT, 500mg/Nm3 NOx, 70MN</t>
    </r>
  </si>
  <si>
    <r>
      <t xml:space="preserve">QSV91, 1540kW, 50Hz, 1500rpm, 14bar, 12CR, 50C LT
     </t>
    </r>
    <r>
      <rPr>
        <u/>
        <sz val="10"/>
        <rFont val="Arial"/>
        <family val="2"/>
      </rPr>
      <t>TH7047</t>
    </r>
    <r>
      <rPr>
        <sz val="10"/>
        <rFont val="Arial"/>
        <family val="2"/>
      </rPr>
      <t xml:space="preserve"> 110C HT, 500mg/Nm3 NOx, 73MN</t>
    </r>
  </si>
  <si>
    <r>
      <t xml:space="preserve">QSV91, 1750kW, 50Hz, 1500rpm, 16bar, 12CR, 50C LT
     </t>
    </r>
    <r>
      <rPr>
        <u/>
        <sz val="10"/>
        <rFont val="Arial"/>
        <family val="2"/>
      </rPr>
      <t>TH7047</t>
    </r>
    <r>
      <rPr>
        <sz val="10"/>
        <rFont val="Arial"/>
        <family val="2"/>
      </rPr>
      <t xml:space="preserve"> 110C HT, 350mg/Nm3 NOx, 80MN</t>
    </r>
  </si>
  <si>
    <r>
      <t xml:space="preserve">QSV91, 1750kW, 60Hz, 1514rpm &amp; GearBox, 16bar, 12CR, 50C LT
     </t>
    </r>
    <r>
      <rPr>
        <u/>
        <sz val="10"/>
        <rFont val="Arial"/>
        <family val="2"/>
      </rPr>
      <t>TH7043</t>
    </r>
    <r>
      <rPr>
        <sz val="10"/>
        <rFont val="Arial"/>
        <family val="2"/>
      </rPr>
      <t xml:space="preserve"> 95C HT, 350mg/Nm3 NOx, 67MN</t>
    </r>
  </si>
  <si>
    <t>P10128.03</t>
  </si>
  <si>
    <t>P10127.03</t>
  </si>
  <si>
    <t>P10076.11</t>
  </si>
  <si>
    <t>P10133.03</t>
  </si>
  <si>
    <t>P10074.11</t>
  </si>
  <si>
    <t>P10068.11</t>
  </si>
  <si>
    <t>P10067.11</t>
  </si>
  <si>
    <t>P10135.03</t>
  </si>
  <si>
    <t>P10066.11</t>
  </si>
  <si>
    <t>P10069.11</t>
  </si>
  <si>
    <t>P10134.03</t>
  </si>
  <si>
    <t>P10072.11</t>
  </si>
  <si>
    <t>P10129.03</t>
  </si>
  <si>
    <t>P10131.03</t>
  </si>
  <si>
    <t>P10132.03</t>
  </si>
  <si>
    <t>P10071.11</t>
  </si>
  <si>
    <t>P10096.11</t>
  </si>
  <si>
    <t>AI10015.15</t>
  </si>
  <si>
    <t>AI10016.13</t>
  </si>
  <si>
    <t>AI10018.15</t>
  </si>
  <si>
    <t>AI10017.13</t>
  </si>
  <si>
    <t>AI10020.14</t>
  </si>
  <si>
    <t>AI10019.14</t>
  </si>
  <si>
    <t>AI10035.12</t>
  </si>
  <si>
    <t>AI10040.12</t>
  </si>
  <si>
    <t>AI10036.12</t>
  </si>
  <si>
    <t>AI10038.12</t>
  </si>
  <si>
    <t>AI10031.14</t>
  </si>
  <si>
    <t>AI10032.14</t>
  </si>
  <si>
    <t>AI10083.04</t>
  </si>
  <si>
    <t>AI10084.04</t>
  </si>
  <si>
    <t>AI10085.04</t>
  </si>
  <si>
    <t>AI10086.04</t>
  </si>
  <si>
    <t>AI10087.03</t>
  </si>
  <si>
    <t>AI10088.03</t>
  </si>
  <si>
    <t>AI10093.03</t>
  </si>
  <si>
    <t>AI10094.03</t>
  </si>
  <si>
    <t>AI10095.03</t>
  </si>
  <si>
    <t>AI10096.03</t>
  </si>
  <si>
    <t>AI10097.04</t>
  </si>
  <si>
    <t>AI10098.05</t>
  </si>
  <si>
    <t>D673002GX03</t>
  </si>
  <si>
    <r>
      <t xml:space="preserve">QSV91, 1540kW, 50Hz, 1500rpm, 16bar, 12CR, 50C LT
     </t>
    </r>
    <r>
      <rPr>
        <u/>
        <sz val="10"/>
        <rFont val="Arial"/>
        <family val="2"/>
      </rPr>
      <t>TH7047</t>
    </r>
    <r>
      <rPr>
        <sz val="10"/>
        <rFont val="Arial"/>
        <family val="2"/>
      </rPr>
      <t xml:space="preserve"> 110C HT, 350mg/Nm3 NOx, 73MN</t>
    </r>
  </si>
  <si>
    <t>FC0BN87</t>
  </si>
  <si>
    <t>FC0BN88</t>
  </si>
  <si>
    <t>FC0BN93</t>
  </si>
  <si>
    <t>SC61006</t>
  </si>
  <si>
    <t>DO60166</t>
  </si>
  <si>
    <t>FR06948</t>
  </si>
  <si>
    <t>SC61007</t>
  </si>
  <si>
    <t>DO60167</t>
  </si>
  <si>
    <t>FR06949</t>
  </si>
  <si>
    <t>FC0BN54</t>
  </si>
  <si>
    <t>FC0BN55</t>
  </si>
  <si>
    <t>FC0BN52</t>
  </si>
  <si>
    <t>FC0BN53</t>
  </si>
  <si>
    <t>SC60688</t>
  </si>
  <si>
    <t>DO06833</t>
  </si>
  <si>
    <t>FC0BN70</t>
  </si>
  <si>
    <t>D-Phase</t>
  </si>
  <si>
    <t>AI70083.00</t>
  </si>
  <si>
    <t>Compatible with new I2M ignition module</t>
  </si>
  <si>
    <t>AI70085.00</t>
  </si>
  <si>
    <t>SC61008</t>
  </si>
  <si>
    <t>DO60168</t>
  </si>
  <si>
    <t>FR06950</t>
  </si>
  <si>
    <t>SC61009</t>
  </si>
  <si>
    <t>DO60169</t>
  </si>
  <si>
    <t>FR06951</t>
  </si>
  <si>
    <t>SC61010</t>
  </si>
  <si>
    <t>DO60170</t>
  </si>
  <si>
    <t>FR06952</t>
  </si>
  <si>
    <t>SC61011</t>
  </si>
  <si>
    <t>DO60171</t>
  </si>
  <si>
    <t>FR06953</t>
  </si>
  <si>
    <t>AI70087.00</t>
  </si>
  <si>
    <t>AI70089.00</t>
  </si>
  <si>
    <t>AI70091.00</t>
  </si>
  <si>
    <t>AI70093.00</t>
  </si>
  <si>
    <t>AI10026.09</t>
  </si>
  <si>
    <t>AI10021.09</t>
  </si>
  <si>
    <t>PJ60169 PJ60170
(PJ60131
PJ60132)</t>
  </si>
  <si>
    <t>PJ60171 PJ60172
(PJ60133
PJ60134)</t>
  </si>
  <si>
    <t>PJ60173 PJ60174
(PJ60135
PJ60136)</t>
  </si>
  <si>
    <t>PJ60175 PJ60176
(PJ60137
PJ60138)</t>
  </si>
  <si>
    <t>PJ60177 PJ60178
(PJ60141
PJ60142)</t>
  </si>
  <si>
    <t>PJ60179 PJ60180
(PJ06834
PJ06835)</t>
  </si>
  <si>
    <t>PJ60181 PJ60182
(PJ06844
PJ06845)</t>
  </si>
  <si>
    <t>PJ60183 PJ60184
(PJ06903
PJ06904)</t>
  </si>
  <si>
    <t>PJ60185 PJ60186
(PJ06905
PJ06906)</t>
  </si>
  <si>
    <t>PJ60187 PJ60188
(PJ60026
PJ60027)</t>
  </si>
  <si>
    <t>PJ60189 PJ60190
(PJ60028
PJ60029)</t>
  </si>
  <si>
    <t>PJ60191 PJ60192
(PJ06747
PJ06748)</t>
  </si>
  <si>
    <t>PJ60193 PJ60194
(PJ06741
PJ06742)</t>
  </si>
  <si>
    <t>PJ07853 PJ07854
(PJ07818 PJ07819)</t>
  </si>
  <si>
    <t>PJ07851 PJ07852
(PJ07816 PJ07817)</t>
  </si>
  <si>
    <t>PJ07855 PJ07856
(PJ07820 PJ07821)</t>
  </si>
  <si>
    <t>PJ07857 PJ07858
(PJ07822 PJ07823)</t>
  </si>
  <si>
    <t>PJ07859 PJ07860
(PJ07824 PJ07825)</t>
  </si>
  <si>
    <t>PJ07861 PJ07862
(PJ07826 PJ07827)</t>
  </si>
  <si>
    <t>PJ07863 PJ07864
(PJ07828 PJ07829)</t>
  </si>
  <si>
    <t>PJ07865 PJ07866
(PJ07830 PJ07831)</t>
  </si>
  <si>
    <t>PJ07867 PJ07868
(PJ07832 PJ07833)</t>
  </si>
  <si>
    <t>PJ07869 PJ07870
(PJ07834 PJ07835)</t>
  </si>
  <si>
    <t>PJ07871 PJ07872
(PJ07836 PJ07837)</t>
  </si>
  <si>
    <t>PJ07873 PJ07874
(PJ07838 PJ07839)</t>
  </si>
  <si>
    <t>PJ07875 PJ07876
(PJ07840 PJ07841)</t>
  </si>
  <si>
    <t>PJ07877 PJ07878
(PJ07842 PJ07843)</t>
  </si>
  <si>
    <t>PJ07879 PJ07880
(PJ07844 PJ07845)</t>
  </si>
  <si>
    <t>PJ07881 PJ07882
(PJ07846 PJ07847)</t>
  </si>
  <si>
    <t>PJ07883 PJ07884
(PJ07848 PJ07849)</t>
  </si>
  <si>
    <t>PJ07885 PJ07886
(PJ07758
PJ07759)</t>
  </si>
  <si>
    <t>PJ07887 PJ07888
(PJ07760
PJ07761)</t>
  </si>
  <si>
    <t>PJ07889 PJ07890
(PJ07762
PJ07763)</t>
  </si>
  <si>
    <t>PJ07891 PJ07892
(PJ07764
PJ07765)</t>
  </si>
  <si>
    <t>PJ07893 PJ07894
(PJ07789
PJ07790)</t>
  </si>
  <si>
    <t>PJ04721
(PJ04713)</t>
  </si>
  <si>
    <t>PJ04722
(PJ04714)</t>
  </si>
  <si>
    <t>PJ04723
(PJ04715)</t>
  </si>
  <si>
    <t>PJ04724
(PJ04716)</t>
  </si>
  <si>
    <t>PJ07887 (PJ07760)</t>
  </si>
  <si>
    <t>PJ07888 (PJ07761)</t>
  </si>
  <si>
    <t>AI10195.00
(AI10064.06)</t>
  </si>
  <si>
    <t>AI10196.00
(AI10068.06)</t>
  </si>
  <si>
    <t>PJ07885 (PJ07758)</t>
  </si>
  <si>
    <t>PJ07886 (PJ07759)</t>
  </si>
  <si>
    <t>AI10193.00
(AI10066.06)</t>
  </si>
  <si>
    <t>AI10194.00
(AI10065.06)</t>
  </si>
  <si>
    <t>PJ07889 (PJ7762)</t>
  </si>
  <si>
    <t>PJ07890 (PJ07763)</t>
  </si>
  <si>
    <t>AI10197.00
(AI10070.06)</t>
  </si>
  <si>
    <t>AI10198.00
(AI10069.06)</t>
  </si>
  <si>
    <t>PJ07891 (PJ07764)</t>
  </si>
  <si>
    <t>PJ07892 (PJ07765)</t>
  </si>
  <si>
    <t>AI10199.00
(AI10067.06)</t>
  </si>
  <si>
    <t>AI10200.00
(AI10063.06)</t>
  </si>
  <si>
    <t>PJ07893 (PJ07789)</t>
  </si>
  <si>
    <t>PJ07894 (PJ07790)</t>
  </si>
  <si>
    <t>AI10201.00
(AI10099.01)</t>
  </si>
  <si>
    <t>AI10202.00
(AI10100.01)</t>
  </si>
  <si>
    <t>PJ60183 (PJ06903)</t>
  </si>
  <si>
    <t>PJ60184 (PJ06904)</t>
  </si>
  <si>
    <t>AI70066.01
(AI70031.07)</t>
  </si>
  <si>
    <t>AI70067.01
(AI70032.07)</t>
  </si>
  <si>
    <t>PJ60185 (PJ06905)</t>
  </si>
  <si>
    <t>PJ60185 (PJ06906)</t>
  </si>
  <si>
    <t>AI70068.01
(AI70033.08)</t>
  </si>
  <si>
    <t>AI70069.01
(AI70034.08)</t>
  </si>
  <si>
    <t>PJ60187 (PJ60026)</t>
  </si>
  <si>
    <t>PJ60188 (PJ60027)</t>
  </si>
  <si>
    <t>AI70070.01
(AI70035.06)</t>
  </si>
  <si>
    <t>AI70071.01
(AI70036.06)</t>
  </si>
  <si>
    <t>PJ60189 (PJ60028)</t>
  </si>
  <si>
    <t>PJ60190 (PJ60029(</t>
  </si>
  <si>
    <t>AI70072.01 (AI70037.06)</t>
  </si>
  <si>
    <t>AI70073.01
(AI70038.06)</t>
  </si>
  <si>
    <t>PJ60191 (PJ06747)</t>
  </si>
  <si>
    <t>PJ600192 (PJ06748)</t>
  </si>
  <si>
    <t>AI70074.01
(AI70014.08)</t>
  </si>
  <si>
    <t>AI70075.01
(AI70013.08)</t>
  </si>
  <si>
    <t>PJ60193 (PJ06741)</t>
  </si>
  <si>
    <t>PJ60194 (PJ06742)</t>
  </si>
  <si>
    <t>AI70076.01
(AI70016.07)</t>
  </si>
  <si>
    <t>AI70077.01
(AI70015.07)</t>
  </si>
  <si>
    <t>PJ07851 (PJ07816)</t>
  </si>
  <si>
    <t>PJ07852 (PJ07817)</t>
  </si>
  <si>
    <t>AI10159.00
(AI10121.01)</t>
  </si>
  <si>
    <t>AI10160.00
(AI10122.01)</t>
  </si>
  <si>
    <t>PJ07853 (PJ07818)</t>
  </si>
  <si>
    <t>PJ07854 (PJ07819)</t>
  </si>
  <si>
    <t>AI10161.00
(AI10123.01)</t>
  </si>
  <si>
    <t>AI10162.00 (AI10124.01)</t>
  </si>
  <si>
    <t>PJ07855 (PJ07820)</t>
  </si>
  <si>
    <t>PJ07856 (PJ07921)</t>
  </si>
  <si>
    <t>AI10163.00 (AI10125.01)</t>
  </si>
  <si>
    <t>AI10164.00
(AI10126.01)</t>
  </si>
  <si>
    <t>PJ07857 (PJ07822)</t>
  </si>
  <si>
    <t>PJ07858 (PJ07823)</t>
  </si>
  <si>
    <t>AI10165.00
(AI10127.01)</t>
  </si>
  <si>
    <t>AI10166.00
(AI10128.01)</t>
  </si>
  <si>
    <t>PJ07860 (PJ07825)</t>
  </si>
  <si>
    <t>PJ07859 (PJ07824)</t>
  </si>
  <si>
    <t>AI10167.00
(AI10129.01)</t>
  </si>
  <si>
    <t>AI10168.00
(AI10130.01)</t>
  </si>
  <si>
    <t>PJ07861 (PJ07826)</t>
  </si>
  <si>
    <t>PJ07862 (PJ07827)</t>
  </si>
  <si>
    <t>AI10169.00
(AI10131.01)</t>
  </si>
  <si>
    <t>AI10170.00
(AI10132.01)</t>
  </si>
  <si>
    <t>PJ07863 (PJ07828)</t>
  </si>
  <si>
    <t>PJ07864 (PJ07829)</t>
  </si>
  <si>
    <t>AI10171.00
(AI10133.01)</t>
  </si>
  <si>
    <t>AI10172.00
(AI10134.01)</t>
  </si>
  <si>
    <t>PJ07865 (PJ07830)</t>
  </si>
  <si>
    <t>PJ07866 (PJ07831)</t>
  </si>
  <si>
    <t>AI10173.00
(AI10135.01)</t>
  </si>
  <si>
    <t>AI10174.00
(AI10136.01)</t>
  </si>
  <si>
    <t>PJ07867 (PJ07832)</t>
  </si>
  <si>
    <t>PJ07868 (PJ07833)</t>
  </si>
  <si>
    <t>AI10175.00
(AI10137.01)</t>
  </si>
  <si>
    <t>AI10176.00
(AI10138.01)</t>
  </si>
  <si>
    <t>PJ07869 (PJ07834)</t>
  </si>
  <si>
    <t>PJ07870 (PJ07835)</t>
  </si>
  <si>
    <t>AI10177.00
(AI10139.01)</t>
  </si>
  <si>
    <t>AI10178.00
(AI10140.01)</t>
  </si>
  <si>
    <t>PJ07871 (PJ07836)</t>
  </si>
  <si>
    <t>PJ07872 (PJ07837)</t>
  </si>
  <si>
    <t>AI10179.00
(AI10141.01)</t>
  </si>
  <si>
    <t>AI10180.00
(AI10142.01)</t>
  </si>
  <si>
    <t>PJ07873 (PJ07838)</t>
  </si>
  <si>
    <t>PJ07874 (PJ07839)</t>
  </si>
  <si>
    <t>AI10181.00
(AI10143.01)</t>
  </si>
  <si>
    <t>AI10182.00
(AI10144.01)</t>
  </si>
  <si>
    <t>PJ07875 (PJ07840)</t>
  </si>
  <si>
    <t>PJ07876 (PJ07841)</t>
  </si>
  <si>
    <t>AI10183.00
(AI10145.01)</t>
  </si>
  <si>
    <t>AI10184.00
(AI10146.01)</t>
  </si>
  <si>
    <t>PJ07877 (PJ07842)</t>
  </si>
  <si>
    <t>PJ07878 (PJ07843)</t>
  </si>
  <si>
    <t>AI10185.00
(AI10147.01)</t>
  </si>
  <si>
    <t>AI10186.00
(AI10148.01)</t>
  </si>
  <si>
    <t>PJ07879 (PJ07844)</t>
  </si>
  <si>
    <t>PJ07880 (PJ07845)</t>
  </si>
  <si>
    <t>AI10187.00
(AI10151.01)</t>
  </si>
  <si>
    <t>AI10188.00
(AI10152.01)</t>
  </si>
  <si>
    <t>PJ07881 (PJ07846)</t>
  </si>
  <si>
    <t>PJ07882 (PJ07847)</t>
  </si>
  <si>
    <t>AI10189.00
(AI10149.01)</t>
  </si>
  <si>
    <t>AI10190.00
(AI10150.01)</t>
  </si>
  <si>
    <t>PJ07883 (PJ07848)</t>
  </si>
  <si>
    <t>PJ07884 (PJ0849)</t>
  </si>
  <si>
    <t>AI10191.00
(AI10153.01)</t>
  </si>
  <si>
    <t>AI10192.00
(AI10154.01)</t>
  </si>
  <si>
    <t>AI10155.01
(AI10074.03)</t>
  </si>
  <si>
    <t>AI10156.01
(AI10073.03)</t>
  </si>
  <si>
    <r>
      <t xml:space="preserve">QSV91, 1540kW, 50Hz, 1500RPM, 16bar, 12CR, 50C LT
     </t>
    </r>
    <r>
      <rPr>
        <u/>
        <sz val="10"/>
        <rFont val="Arial"/>
        <family val="2"/>
      </rPr>
      <t>TH7047</t>
    </r>
    <r>
      <rPr>
        <sz val="10"/>
        <rFont val="Arial"/>
        <family val="2"/>
      </rPr>
      <t xml:space="preserve"> 110C HT, 350mg/Nm3 NOx, 73MN</t>
    </r>
  </si>
  <si>
    <r>
      <t xml:space="preserve">QSV91, 1750kW, 60Hz, 1514RPM &amp; GearBox, 16bar, 12CR, 50C LT
     </t>
    </r>
    <r>
      <rPr>
        <u/>
        <sz val="10"/>
        <rFont val="Arial"/>
        <family val="2"/>
      </rPr>
      <t>TH7047</t>
    </r>
    <r>
      <rPr>
        <sz val="10"/>
        <rFont val="Arial"/>
        <family val="2"/>
      </rPr>
      <t xml:space="preserve"> 110C HT, 500mg/Nm3 NOx, 80MN</t>
    </r>
  </si>
  <si>
    <r>
      <t xml:space="preserve">QSV91, 1750kW, 60Hz, 1514RPM &amp; GearBox, 16bar, 11.4CR, 50C LT
     </t>
    </r>
    <r>
      <rPr>
        <u/>
        <sz val="10"/>
        <rFont val="Arial"/>
        <family val="2"/>
      </rPr>
      <t>TH7043</t>
    </r>
    <r>
      <rPr>
        <sz val="10"/>
        <rFont val="Arial"/>
        <family val="2"/>
      </rPr>
      <t xml:space="preserve"> 95C HT, 350mg/Nm3 NOx, 63MN</t>
    </r>
  </si>
  <si>
    <r>
      <t xml:space="preserve">QSV91, 1540kW, 50Hz, 1500RPM, 14bar, 11.4CR, 50C LT
     </t>
    </r>
    <r>
      <rPr>
        <u/>
        <sz val="10"/>
        <rFont val="Arial"/>
        <family val="2"/>
      </rPr>
      <t>TH7047</t>
    </r>
    <r>
      <rPr>
        <sz val="10"/>
        <rFont val="Arial"/>
        <family val="2"/>
      </rPr>
      <t xml:space="preserve"> 110C HT, 500mg/Nm3 NOx, 63MN</t>
    </r>
  </si>
  <si>
    <r>
      <t xml:space="preserve">QSV91, 1540kW, 50Hz, 1500RPM, 16bar, 11.4CR, 50C LT,
     </t>
    </r>
    <r>
      <rPr>
        <u/>
        <sz val="10"/>
        <rFont val="Arial"/>
        <family val="2"/>
      </rPr>
      <t>TH7047</t>
    </r>
    <r>
      <rPr>
        <sz val="10"/>
        <rFont val="Arial"/>
        <family val="2"/>
      </rPr>
      <t xml:space="preserve"> 110C HT, 500mg/Nm3 NOx, 59MN</t>
    </r>
  </si>
  <si>
    <r>
      <t xml:space="preserve">QSV91, 1250kW, 60Hz, 1200RPM, 14bar, 11.4CR, 50C LT, 
     </t>
    </r>
    <r>
      <rPr>
        <u/>
        <sz val="10"/>
        <rFont val="Arial"/>
        <family val="2"/>
      </rPr>
      <t>TH7047</t>
    </r>
    <r>
      <rPr>
        <sz val="10"/>
        <rFont val="Arial"/>
        <family val="2"/>
      </rPr>
      <t xml:space="preserve"> 110C HT 500mg/Nm3 Nox, 63MN</t>
    </r>
  </si>
  <si>
    <r>
      <t xml:space="preserve">QSV91, 1250kW, 60Hz, 1200RPM, 14bar, 11.4CR, 50C LT, 
     </t>
    </r>
    <r>
      <rPr>
        <u/>
        <sz val="10"/>
        <rFont val="Arial"/>
        <family val="2"/>
      </rPr>
      <t>TH7047</t>
    </r>
    <r>
      <rPr>
        <sz val="10"/>
        <rFont val="Arial"/>
        <family val="2"/>
      </rPr>
      <t xml:space="preserve"> 110C HT 350mg/Nm3 Nox, 59MN</t>
    </r>
  </si>
  <si>
    <r>
      <t xml:space="preserve">QSV91, 1750kW, 60Hz, 1514RPM &amp; GearBox, 16bar, 12CR, 50C LT
     </t>
    </r>
    <r>
      <rPr>
        <u/>
        <sz val="10"/>
        <rFont val="Arial"/>
        <family val="2"/>
      </rPr>
      <t>TH7047</t>
    </r>
    <r>
      <rPr>
        <sz val="10"/>
        <rFont val="Arial"/>
        <family val="2"/>
      </rPr>
      <t xml:space="preserve"> 110C HT, 350mg/Nm3 NOx, 77MN</t>
    </r>
  </si>
  <si>
    <t>P10130.03</t>
  </si>
  <si>
    <t xml:space="preserve"> P10070.11</t>
  </si>
  <si>
    <t xml:space="preserve"> P10140.03</t>
  </si>
  <si>
    <t xml:space="preserve"> P10039.12</t>
  </si>
  <si>
    <t xml:space="preserve"> P10075.11</t>
  </si>
  <si>
    <t xml:space="preserve"> P10141.03</t>
  </si>
  <si>
    <t xml:space="preserve"> P10136.03</t>
  </si>
  <si>
    <t xml:space="preserve"> P10093.11</t>
  </si>
  <si>
    <t xml:space="preserve"> P10092.11</t>
  </si>
  <si>
    <t xml:space="preserve"> P10091.11</t>
  </si>
  <si>
    <t xml:space="preserve"> P10087.11</t>
  </si>
  <si>
    <t xml:space="preserve"> P10139.03</t>
  </si>
  <si>
    <t xml:space="preserve"> P10085.11</t>
  </si>
  <si>
    <t xml:space="preserve"> P10142.03</t>
  </si>
  <si>
    <t xml:space="preserve"> P10106.06</t>
  </si>
  <si>
    <t xml:space="preserve"> P10143.03</t>
  </si>
  <si>
    <t xml:space="preserve"> P10105.06</t>
  </si>
  <si>
    <t>PJ07907 PJ07908</t>
  </si>
  <si>
    <t>PJ07896 PJ07897</t>
  </si>
  <si>
    <t>PJ07900 PJ07901</t>
  </si>
  <si>
    <t>PJ07898 PJ07899</t>
  </si>
  <si>
    <t>PJ07902 PJ07903</t>
  </si>
  <si>
    <t>PJ60267 PJ60268</t>
  </si>
  <si>
    <t>PJ60269 PJ60270</t>
  </si>
  <si>
    <t>PJ60271 PJ60272</t>
  </si>
  <si>
    <t>PJ60273 PJ60274</t>
  </si>
  <si>
    <t>PJ60275 PJ60276</t>
  </si>
  <si>
    <t>PJ60277 PJ60278</t>
  </si>
  <si>
    <t>PJ07801 PJ07802</t>
  </si>
  <si>
    <t>PJ07744 PJ07745</t>
  </si>
  <si>
    <t>PJ07746 PJ07747</t>
  </si>
  <si>
    <t>PJ07807 PJ07808</t>
  </si>
  <si>
    <t>PJ07809 PJ07810</t>
  </si>
  <si>
    <t>PJ07742 PJ07743</t>
  </si>
  <si>
    <t>PJ07805 PJ07806</t>
  </si>
  <si>
    <t>PJ07811 PJ07812</t>
  </si>
  <si>
    <t>PJ07813 PJ07814</t>
  </si>
  <si>
    <t>PJ07803 PJ07804</t>
  </si>
  <si>
    <t>PJ07719 PJ07720</t>
  </si>
  <si>
    <t>PJ07721 PJ07722</t>
  </si>
  <si>
    <t>PJ07797 PJ07798</t>
  </si>
  <si>
    <t>PJ07799 PJ07800</t>
  </si>
  <si>
    <t>PJ07904 PJ07905</t>
  </si>
  <si>
    <t>PJ06832 PJ06833</t>
  </si>
  <si>
    <t>PJ06836 PJ06837</t>
  </si>
  <si>
    <t>PJ60129 PJ60130</t>
  </si>
  <si>
    <t>AI10002.06</t>
  </si>
  <si>
    <t>AI10157.01
(AI10072.03)</t>
  </si>
  <si>
    <t>AI10158.01
(AI10071.03)</t>
  </si>
  <si>
    <t>PJ07750 PJ07751</t>
  </si>
  <si>
    <t>PJ07752 PJ07753</t>
  </si>
  <si>
    <t>PJ60169 (PJ60131)</t>
  </si>
  <si>
    <t>PJ60170 (PJ60132)</t>
  </si>
  <si>
    <t>PJ60171 (PJ60133)</t>
  </si>
  <si>
    <t>PJ60172 (PJ60134)</t>
  </si>
  <si>
    <t>AI70055.02 (AI70045.03)</t>
  </si>
  <si>
    <t>AI70054.02 (AI70044.03)</t>
  </si>
  <si>
    <t>AI70056.02 (AI70046.03)</t>
  </si>
  <si>
    <t>PJ60174 (PJ60136)</t>
  </si>
  <si>
    <t>AI70057.02 (AI70047.03)</t>
  </si>
  <si>
    <t>PJ60173 (PJ60125)</t>
  </si>
  <si>
    <t>PJ60175 (PJ60137)</t>
  </si>
  <si>
    <t>AI70058.02 (AI70048.03)</t>
  </si>
  <si>
    <t>PJ60176 (PJ60138)</t>
  </si>
  <si>
    <t>AI70059.02 (AI70049.03)</t>
  </si>
  <si>
    <t>PJ60177 (PJ60141)</t>
  </si>
  <si>
    <t>AI70060.02 (AI70050.03)</t>
  </si>
  <si>
    <t>PJ60178 (PJ60142)</t>
  </si>
  <si>
    <t>AI70061.02 (AI70051.03)</t>
  </si>
  <si>
    <t>PJ60179 (PJ06834)</t>
  </si>
  <si>
    <t>AI70062.01 (AI70023.05)</t>
  </si>
  <si>
    <t>PJ60180 (PJ06835)</t>
  </si>
  <si>
    <t>AI70063.01 (AI70024.05)</t>
  </si>
  <si>
    <t>AI70064.01 (AI70027.05)</t>
  </si>
  <si>
    <t>PJ60182 (PJ06845)</t>
  </si>
  <si>
    <t>AI70065.01 (AI70028.05)</t>
  </si>
  <si>
    <t>SC07771</t>
  </si>
  <si>
    <t>SC07770</t>
  </si>
  <si>
    <t>DO07047</t>
  </si>
  <si>
    <t>DO07057</t>
  </si>
  <si>
    <t>DO07054</t>
  </si>
  <si>
    <t>DO06881</t>
  </si>
  <si>
    <t>SC12135</t>
  </si>
  <si>
    <t>DO01846</t>
  </si>
  <si>
    <t>Q10083.00</t>
  </si>
  <si>
    <t>SC12137</t>
  </si>
  <si>
    <t>DO01848</t>
  </si>
  <si>
    <t>Q10085.00</t>
  </si>
  <si>
    <t>SC12136</t>
  </si>
  <si>
    <t>DO01847</t>
  </si>
  <si>
    <t>Q10084.00</t>
  </si>
  <si>
    <t>SC12138</t>
  </si>
  <si>
    <t>DO01849</t>
  </si>
  <si>
    <t>Q10086.00</t>
  </si>
  <si>
    <t>PJ07756 PJ07757</t>
  </si>
  <si>
    <t>PJ07756</t>
  </si>
  <si>
    <t>PJ07757</t>
  </si>
  <si>
    <t>AI10062.07</t>
  </si>
  <si>
    <t>AI10061.07</t>
  </si>
  <si>
    <t>PJ07705 PJ07706</t>
  </si>
  <si>
    <t>AI10014.14</t>
  </si>
  <si>
    <t>AI10012.14</t>
  </si>
  <si>
    <t>2886225, 4014413</t>
  </si>
  <si>
    <t>2886223, 4014414</t>
  </si>
  <si>
    <t>PJ07725 PJ07726</t>
  </si>
  <si>
    <t>AI10034.11</t>
  </si>
  <si>
    <t>AI10033.11</t>
  </si>
  <si>
    <t>PJ07727 PJ07728</t>
  </si>
  <si>
    <t>AI10037.12</t>
  </si>
  <si>
    <t>AI10039.12</t>
  </si>
  <si>
    <t>SC40574</t>
  </si>
  <si>
    <t>DO04846</t>
  </si>
  <si>
    <t>SC40556</t>
  </si>
  <si>
    <t>DO04829</t>
  </si>
  <si>
    <t>SC40557</t>
  </si>
  <si>
    <t>DO04830</t>
  </si>
  <si>
    <t>SC40558</t>
  </si>
  <si>
    <t>DO04831</t>
  </si>
  <si>
    <t>SC40559</t>
  </si>
  <si>
    <t>DO04832</t>
  </si>
  <si>
    <t>SC40580</t>
  </si>
  <si>
    <t>DO04852</t>
  </si>
  <si>
    <t>FR04570</t>
  </si>
  <si>
    <t>FR04560</t>
  </si>
  <si>
    <t>FR04561</t>
  </si>
  <si>
    <t>FR04562</t>
  </si>
  <si>
    <t>FR04563</t>
  </si>
  <si>
    <t>FR04572</t>
  </si>
  <si>
    <t>PJ04729</t>
  </si>
  <si>
    <t>PJ04725</t>
  </si>
  <si>
    <t>PJ04726</t>
  </si>
  <si>
    <t>PJ04727</t>
  </si>
  <si>
    <t>PJ04728</t>
  </si>
  <si>
    <t>PJ04731</t>
  </si>
  <si>
    <t xml:space="preserve"> P10203.00</t>
  </si>
  <si>
    <t xml:space="preserve"> P10198.00</t>
  </si>
  <si>
    <t xml:space="preserve"> P10199.00</t>
  </si>
  <si>
    <t xml:space="preserve"> P10200.00</t>
  </si>
  <si>
    <t xml:space="preserve"> P10201.00</t>
  </si>
  <si>
    <t xml:space="preserve"> P10202.00</t>
  </si>
  <si>
    <t>AI10220.00</t>
  </si>
  <si>
    <t>AI10215.00</t>
  </si>
  <si>
    <t>AI10216.00</t>
  </si>
  <si>
    <t>AI10217.00</t>
  </si>
  <si>
    <t>AI10218.00</t>
  </si>
  <si>
    <t>AI10219.00</t>
  </si>
  <si>
    <t>SC60191</t>
  </si>
  <si>
    <t>DO06353</t>
  </si>
  <si>
    <t>SC60192</t>
  </si>
  <si>
    <t>SC60193</t>
  </si>
  <si>
    <t>SC60194</t>
  </si>
  <si>
    <t>SC60195</t>
  </si>
  <si>
    <t>SC60196</t>
  </si>
  <si>
    <t>SC60197</t>
  </si>
  <si>
    <t>SC60198</t>
  </si>
  <si>
    <t>SC60383</t>
  </si>
  <si>
    <t>FR06460</t>
  </si>
  <si>
    <t>FR06461</t>
  </si>
  <si>
    <t>FR06462</t>
  </si>
  <si>
    <t>FR06463</t>
  </si>
  <si>
    <t>FR06464</t>
  </si>
  <si>
    <t>FR06465</t>
  </si>
  <si>
    <t>FR06466</t>
  </si>
  <si>
    <t>FR06473</t>
  </si>
  <si>
    <t>FR06626</t>
  </si>
  <si>
    <t>PJ06726 PJ06727</t>
  </si>
  <si>
    <t>PJ06728 PJ06729</t>
  </si>
  <si>
    <r>
      <t>GQSK60-G1, 1160kW, 50Hz, 1618BHP@1500RPM, 11.4CR, 18deg timing</t>
    </r>
    <r>
      <rPr>
        <sz val="10"/>
        <rFont val="Arial"/>
        <family val="2"/>
      </rPr>
      <t xml:space="preserve">
     </t>
    </r>
    <r>
      <rPr>
        <u/>
        <sz val="10"/>
        <rFont val="Arial"/>
        <family val="2"/>
      </rPr>
      <t>EC6116</t>
    </r>
    <r>
      <rPr>
        <sz val="10"/>
        <rFont val="Arial"/>
        <family val="2"/>
      </rPr>
      <t xml:space="preserve"> 90C HT, </t>
    </r>
    <r>
      <rPr>
        <u/>
        <sz val="10"/>
        <rFont val="Arial"/>
        <family val="2"/>
      </rPr>
      <t>TB6072</t>
    </r>
    <r>
      <rPr>
        <sz val="10"/>
        <rFont val="Arial"/>
        <family val="2"/>
      </rPr>
      <t xml:space="preserve"> 50C LT, 500mg/Nm3 NOx, 69MN</t>
    </r>
  </si>
  <si>
    <r>
      <t xml:space="preserve">GQSK60-G2, 1160kW, 50Hz, 1618BHP@1500RPM, 12CR, 18deg timing
     </t>
    </r>
    <r>
      <rPr>
        <u/>
        <sz val="10"/>
        <rFont val="Arial"/>
        <family val="2"/>
      </rPr>
      <t>EC6117</t>
    </r>
    <r>
      <rPr>
        <sz val="10"/>
        <rFont val="Arial"/>
        <family val="2"/>
      </rPr>
      <t xml:space="preserve"> 95C HT, </t>
    </r>
    <r>
      <rPr>
        <u/>
        <sz val="10"/>
        <rFont val="Arial"/>
        <family val="2"/>
      </rPr>
      <t>TB6072</t>
    </r>
    <r>
      <rPr>
        <sz val="10"/>
        <rFont val="Arial"/>
        <family val="2"/>
      </rPr>
      <t xml:space="preserve"> 50C LT, 500mg/Nm3 NOx, 78MN</t>
    </r>
  </si>
  <si>
    <r>
      <t xml:space="preserve">GQSK60-G3, 1160kW, 50Hz, 1618BHP@1500RPM, 12CR, 18deg timing
     </t>
    </r>
    <r>
      <rPr>
        <u/>
        <sz val="10"/>
        <rFont val="Arial"/>
        <family val="2"/>
      </rPr>
      <t>EC6117</t>
    </r>
    <r>
      <rPr>
        <sz val="10"/>
        <rFont val="Arial"/>
        <family val="2"/>
      </rPr>
      <t xml:space="preserve"> 95C HT, </t>
    </r>
    <r>
      <rPr>
        <u/>
        <sz val="10"/>
        <rFont val="Arial"/>
        <family val="2"/>
      </rPr>
      <t>TB6072</t>
    </r>
    <r>
      <rPr>
        <sz val="10"/>
        <rFont val="Arial"/>
        <family val="2"/>
      </rPr>
      <t xml:space="preserve"> 50C LT, 350mg/Nm3 NOx, 67MN</t>
    </r>
  </si>
  <si>
    <r>
      <t xml:space="preserve">GQSK60-G4, 1160kW, 50Hz, 1618BHP@1500RPM, 11.4CR, 18deg timing
     </t>
    </r>
    <r>
      <rPr>
        <u/>
        <sz val="10"/>
        <rFont val="Arial"/>
        <family val="2"/>
      </rPr>
      <t>EC6117</t>
    </r>
    <r>
      <rPr>
        <sz val="10"/>
        <rFont val="Arial"/>
        <family val="2"/>
      </rPr>
      <t xml:space="preserve"> 95C HT, </t>
    </r>
    <r>
      <rPr>
        <u/>
        <sz val="10"/>
        <rFont val="Arial"/>
        <family val="2"/>
      </rPr>
      <t>TB6072</t>
    </r>
    <r>
      <rPr>
        <sz val="10"/>
        <rFont val="Arial"/>
        <family val="2"/>
      </rPr>
      <t xml:space="preserve"> 50C LT, 500mg/Nm3 NOx, 73MN</t>
    </r>
  </si>
  <si>
    <r>
      <t xml:space="preserve">GQSK60-G7, 1160kW, 50Hz, 1618BHP@1500RPM, 12CR, 18deg timing
     </t>
    </r>
    <r>
      <rPr>
        <u/>
        <sz val="10"/>
        <rFont val="Arial"/>
        <family val="2"/>
      </rPr>
      <t>EC6117</t>
    </r>
    <r>
      <rPr>
        <sz val="10"/>
        <rFont val="Arial"/>
        <family val="2"/>
      </rPr>
      <t xml:space="preserve"> 95C HT, </t>
    </r>
    <r>
      <rPr>
        <u/>
        <sz val="10"/>
        <rFont val="Arial"/>
        <family val="2"/>
      </rPr>
      <t>TB6072</t>
    </r>
    <r>
      <rPr>
        <sz val="10"/>
        <rFont val="Arial"/>
        <family val="2"/>
      </rPr>
      <t xml:space="preserve"> 50C LT, 500mg/Nm3 NOx, 75MN</t>
    </r>
  </si>
  <si>
    <r>
      <t>GQSK60-G8, 1400kW, 60Hz, 1953BHP@1800RPM, 11.4CR, 18deg timing</t>
    </r>
    <r>
      <rPr>
        <sz val="10"/>
        <rFont val="Arial"/>
        <family val="2"/>
      </rPr>
      <t xml:space="preserve">
     </t>
    </r>
    <r>
      <rPr>
        <u/>
        <sz val="10"/>
        <rFont val="Arial"/>
        <family val="2"/>
      </rPr>
      <t>EC6116</t>
    </r>
    <r>
      <rPr>
        <sz val="10"/>
        <rFont val="Arial"/>
        <family val="2"/>
      </rPr>
      <t xml:space="preserve"> 90C HT, </t>
    </r>
    <r>
      <rPr>
        <u/>
        <sz val="10"/>
        <rFont val="Arial"/>
        <family val="2"/>
      </rPr>
      <t>TB6072</t>
    </r>
    <r>
      <rPr>
        <sz val="10"/>
        <rFont val="Arial"/>
        <family val="2"/>
      </rPr>
      <t xml:space="preserve"> 50C LT, 350mg/Nm3 NOx, 75MN</t>
    </r>
  </si>
  <si>
    <r>
      <t>GQSK60-G5, 1160kW, 50Hz, 1618BHP@1500RPM, 11.4CR, 18deg timing</t>
    </r>
    <r>
      <rPr>
        <sz val="10"/>
        <rFont val="Arial"/>
        <family val="2"/>
      </rPr>
      <t xml:space="preserve">
     </t>
    </r>
    <r>
      <rPr>
        <u/>
        <sz val="10"/>
        <rFont val="Arial"/>
        <family val="2"/>
      </rPr>
      <t>EC6116</t>
    </r>
    <r>
      <rPr>
        <sz val="10"/>
        <rFont val="Arial"/>
        <family val="2"/>
      </rPr>
      <t xml:space="preserve"> 90C HT, </t>
    </r>
    <r>
      <rPr>
        <u/>
        <sz val="10"/>
        <rFont val="Arial"/>
        <family val="2"/>
      </rPr>
      <t>TB6072</t>
    </r>
    <r>
      <rPr>
        <sz val="10"/>
        <rFont val="Arial"/>
        <family val="2"/>
      </rPr>
      <t xml:space="preserve"> 50C LT, 500mg/Nm3 NOx, 69MN</t>
    </r>
  </si>
  <si>
    <t xml:space="preserve"> P70016.06</t>
  </si>
  <si>
    <t xml:space="preserve"> P70011.06</t>
  </si>
  <si>
    <t xml:space="preserve"> P70015.06</t>
  </si>
  <si>
    <t xml:space="preserve"> P70014.06</t>
  </si>
  <si>
    <t xml:space="preserve"> P70012.06</t>
  </si>
  <si>
    <t xml:space="preserve"> P70013.06</t>
  </si>
  <si>
    <t xml:space="preserve"> P70018.06</t>
  </si>
  <si>
    <t xml:space="preserve"> P70017.07</t>
  </si>
  <si>
    <t xml:space="preserve"> P70036.05</t>
  </si>
  <si>
    <t>AI70009.06</t>
  </si>
  <si>
    <t>AI70011.06</t>
  </si>
  <si>
    <t>AI70008.06</t>
  </si>
  <si>
    <t>AI70012.06</t>
  </si>
  <si>
    <t>AI70007.06</t>
  </si>
  <si>
    <t>D843001GX03</t>
  </si>
  <si>
    <t>FR06911</t>
  </si>
  <si>
    <t>FR06912</t>
  </si>
  <si>
    <t>SC60897</t>
  </si>
  <si>
    <t>DO60054</t>
  </si>
  <si>
    <t>SC60898</t>
  </si>
  <si>
    <t>DO60055</t>
  </si>
  <si>
    <t>PJ60237 PJ60238</t>
  </si>
  <si>
    <t>PJ60239 PJ60240</t>
  </si>
  <si>
    <r>
      <t xml:space="preserve">GQSK60-G5, 1160kW, 50Hz, 1618BHP@1500RPM, 11.4CR, 18deg timing
     </t>
    </r>
    <r>
      <rPr>
        <u/>
        <sz val="10"/>
        <rFont val="Arial"/>
        <family val="2"/>
      </rPr>
      <t>EC6116</t>
    </r>
    <r>
      <rPr>
        <sz val="10"/>
        <rFont val="Arial"/>
        <family val="2"/>
      </rPr>
      <t xml:space="preserve"> 90C HT, </t>
    </r>
    <r>
      <rPr>
        <u/>
        <sz val="10"/>
        <rFont val="Arial"/>
        <family val="2"/>
      </rPr>
      <t>TB6075</t>
    </r>
    <r>
      <rPr>
        <sz val="10"/>
        <rFont val="Arial"/>
        <family val="2"/>
      </rPr>
      <t xml:space="preserve"> 40C LT, 500mg/Nm3 NOx, 61MN
     </t>
    </r>
    <r>
      <rPr>
        <u/>
        <sz val="10"/>
        <rFont val="Arial"/>
        <family val="2"/>
      </rPr>
      <t>EC6116</t>
    </r>
    <r>
      <rPr>
        <sz val="10"/>
        <rFont val="Arial"/>
        <family val="2"/>
      </rPr>
      <t xml:space="preserve"> 90C HT, </t>
    </r>
    <r>
      <rPr>
        <u/>
        <sz val="10"/>
        <rFont val="Arial"/>
        <family val="2"/>
      </rPr>
      <t>TB6075</t>
    </r>
    <r>
      <rPr>
        <sz val="10"/>
        <rFont val="Arial"/>
        <family val="2"/>
      </rPr>
      <t xml:space="preserve"> 40C LT, 1.0g/Nm3 NOx, 61MN</t>
    </r>
  </si>
  <si>
    <t xml:space="preserve"> P70070.00</t>
  </si>
  <si>
    <t>AI70078.00</t>
  </si>
  <si>
    <t>AI70079.00</t>
  </si>
  <si>
    <t>AI70081.00</t>
  </si>
  <si>
    <t>DO07052</t>
  </si>
  <si>
    <t>PJ07707 PJ07708</t>
  </si>
  <si>
    <t>AI10010.14</t>
  </si>
  <si>
    <t>AI10013.14</t>
  </si>
  <si>
    <t>SC07767</t>
  </si>
  <si>
    <t>DO07049</t>
  </si>
  <si>
    <t>DO07050</t>
  </si>
  <si>
    <t xml:space="preserve"> P10188.02</t>
  </si>
  <si>
    <t xml:space="preserve"> P10189.02</t>
  </si>
  <si>
    <t>DO07051</t>
  </si>
  <si>
    <t>SC60444</t>
  </si>
  <si>
    <t>DO06589</t>
  </si>
  <si>
    <t>FR06531</t>
  </si>
  <si>
    <t>PJ06737 PJ06738</t>
  </si>
  <si>
    <t xml:space="preserve"> P70037.06</t>
  </si>
  <si>
    <t>DO06882</t>
  </si>
  <si>
    <t>DO06883</t>
  </si>
  <si>
    <t xml:space="preserve"> P70054.02</t>
  </si>
  <si>
    <t xml:space="preserve"> P70055.02</t>
  </si>
  <si>
    <t>SC07766</t>
  </si>
  <si>
    <t xml:space="preserve"> P10015.09</t>
  </si>
  <si>
    <t>SC07768</t>
  </si>
  <si>
    <t xml:space="preserve"> P10016.08</t>
  </si>
  <si>
    <t>GQSK38</t>
  </si>
  <si>
    <t>D363003GX03</t>
  </si>
  <si>
    <t>SC60506</t>
  </si>
  <si>
    <t>DO06651</t>
  </si>
  <si>
    <t>FR06691</t>
  </si>
  <si>
    <t>PJ06936 PJ06937</t>
  </si>
  <si>
    <t xml:space="preserve"> P60001.02</t>
  </si>
  <si>
    <t>AI60001.02</t>
  </si>
  <si>
    <t>AI60002.02</t>
  </si>
  <si>
    <t xml:space="preserve"> P10194.02</t>
  </si>
  <si>
    <t xml:space="preserve"> P10126.01</t>
  </si>
  <si>
    <t>SC07840</t>
  </si>
  <si>
    <t>DO07029</t>
  </si>
  <si>
    <t>FR07308</t>
  </si>
  <si>
    <t xml:space="preserve"> P70056.02</t>
  </si>
  <si>
    <t xml:space="preserve"> P70057.02</t>
  </si>
  <si>
    <t xml:space="preserve"> P70058.02</t>
  </si>
  <si>
    <t xml:space="preserve"> P70069.01</t>
  </si>
  <si>
    <t>AI10003.06</t>
  </si>
  <si>
    <t>AI10001.06</t>
  </si>
  <si>
    <t>AI10004.06</t>
  </si>
  <si>
    <t>AI10030.05</t>
  </si>
  <si>
    <t>AI10029.05</t>
  </si>
  <si>
    <t>AI10028.05</t>
  </si>
  <si>
    <t>AI10027.05</t>
  </si>
  <si>
    <t>AI10075.03</t>
  </si>
  <si>
    <t>AI10076.03</t>
  </si>
  <si>
    <t>AI10077.03</t>
  </si>
  <si>
    <t>AI10078.03</t>
  </si>
  <si>
    <t>PJ06741</t>
  </si>
  <si>
    <t>PJ06742</t>
  </si>
  <si>
    <t>PJ06747</t>
  </si>
  <si>
    <t>PJ06748</t>
  </si>
  <si>
    <t>AI70021.05</t>
  </si>
  <si>
    <t>AI70022.05</t>
  </si>
  <si>
    <t>PJ06834</t>
  </si>
  <si>
    <t>PJ06835</t>
  </si>
  <si>
    <t>AI70025.05</t>
  </si>
  <si>
    <t>AI70026.05</t>
  </si>
  <si>
    <t>PJ06844</t>
  </si>
  <si>
    <t>PJ06845</t>
  </si>
  <si>
    <t>PJ06903</t>
  </si>
  <si>
    <t>PJ06904</t>
  </si>
  <si>
    <t>PJ06905</t>
  </si>
  <si>
    <t>PJ06906</t>
  </si>
  <si>
    <t>AI70029.04</t>
  </si>
  <si>
    <t>AI70030.04</t>
  </si>
  <si>
    <t>AI10024.10</t>
  </si>
  <si>
    <t>AI10023.10</t>
  </si>
  <si>
    <t>AI10025.10</t>
  </si>
  <si>
    <t>AI10022.10</t>
  </si>
  <si>
    <t>AI10057.09</t>
  </si>
  <si>
    <t>AI10058.09</t>
  </si>
  <si>
    <t>AI10042.10</t>
  </si>
  <si>
    <t>AI10041.10</t>
  </si>
  <si>
    <t>AI10044.10</t>
  </si>
  <si>
    <t>AI10056.09</t>
  </si>
  <si>
    <t>AI10055.09</t>
  </si>
  <si>
    <t>AI10060.09</t>
  </si>
  <si>
    <t>AI10059.09</t>
  </si>
  <si>
    <t>PJ07758</t>
  </si>
  <si>
    <t>PJ07759</t>
  </si>
  <si>
    <t>PJ07760</t>
  </si>
  <si>
    <t>PJ07761</t>
  </si>
  <si>
    <t>PJ07762</t>
  </si>
  <si>
    <t>PJ07763</t>
  </si>
  <si>
    <t>PJ07764</t>
  </si>
  <si>
    <t>PJ07765</t>
  </si>
  <si>
    <t>AI10079.03</t>
  </si>
  <si>
    <t>AI10080.03</t>
  </si>
  <si>
    <t>AI10081.03</t>
  </si>
  <si>
    <t>AI10082.03</t>
  </si>
  <si>
    <t>AI10089.03</t>
  </si>
  <si>
    <t>AI10090.03</t>
  </si>
  <si>
    <t>AI10091.03</t>
  </si>
  <si>
    <t>AI10092.03</t>
  </si>
  <si>
    <t>PJ07789</t>
  </si>
  <si>
    <t>PJ07790</t>
  </si>
  <si>
    <t>AI10101.03</t>
  </si>
  <si>
    <t>AI10102.03</t>
  </si>
  <si>
    <t>AI10103.03</t>
  </si>
  <si>
    <t>AI10104.03</t>
  </si>
  <si>
    <t>AI10105.03</t>
  </si>
  <si>
    <t>AI10106.03</t>
  </si>
  <si>
    <t>AI10108.03</t>
  </si>
  <si>
    <t>AI10109.03</t>
  </si>
  <si>
    <t>AI10110.03</t>
  </si>
  <si>
    <t>AI10117.03</t>
  </si>
  <si>
    <t>AI10118.03</t>
  </si>
  <si>
    <t>AI10119.03</t>
  </si>
  <si>
    <t>AI10120.03</t>
  </si>
  <si>
    <t>PJ07816</t>
  </si>
  <si>
    <t>PJ07817</t>
  </si>
  <si>
    <t>PJ07818</t>
  </si>
  <si>
    <t>PJ07819</t>
  </si>
  <si>
    <t>PJ07820</t>
  </si>
  <si>
    <t>PJ07821</t>
  </si>
  <si>
    <t>PJ07822</t>
  </si>
  <si>
    <t>PJ07823</t>
  </si>
  <si>
    <t>PJ07824</t>
  </si>
  <si>
    <t>PJ07825</t>
  </si>
  <si>
    <t>PJ07826</t>
  </si>
  <si>
    <t>PJ07827</t>
  </si>
  <si>
    <t>PJ07828</t>
  </si>
  <si>
    <t>PJ07829</t>
  </si>
  <si>
    <t>PJ07830</t>
  </si>
  <si>
    <t>PJ07831</t>
  </si>
  <si>
    <t>PJ07832</t>
  </si>
  <si>
    <t>PJ07833</t>
  </si>
  <si>
    <t>PJ07834</t>
  </si>
  <si>
    <t>PJ07835</t>
  </si>
  <si>
    <t>PJ07836</t>
  </si>
  <si>
    <t>PJ07837</t>
  </si>
  <si>
    <t>PJ07838</t>
  </si>
  <si>
    <t>PJ07839</t>
  </si>
  <si>
    <t>PJ07840</t>
  </si>
  <si>
    <t>PJ07841</t>
  </si>
  <si>
    <t>PJ07842</t>
  </si>
  <si>
    <t>PJ07843</t>
  </si>
  <si>
    <t>PJ07844</t>
  </si>
  <si>
    <t>PJ07845</t>
  </si>
  <si>
    <t>PJ07846</t>
  </si>
  <si>
    <t>PJ07847</t>
  </si>
  <si>
    <t>PJ07848</t>
  </si>
  <si>
    <t>PJ07849</t>
  </si>
  <si>
    <t>PJ60026</t>
  </si>
  <si>
    <t>PJ60027</t>
  </si>
  <si>
    <t>PJ60028</t>
  </si>
  <si>
    <t>PJ60029</t>
  </si>
  <si>
    <t>AI70040.02</t>
  </si>
  <si>
    <t>AI70041.02</t>
  </si>
  <si>
    <t>PJ60131</t>
  </si>
  <si>
    <t>PJ60132</t>
  </si>
  <si>
    <t>PJ60133</t>
  </si>
  <si>
    <t>PJ60134</t>
  </si>
  <si>
    <t>PJ60135</t>
  </si>
  <si>
    <t>PJ60136</t>
  </si>
  <si>
    <t>PJ60137</t>
  </si>
  <si>
    <t>PJ60138</t>
  </si>
  <si>
    <t>PJ60141</t>
  </si>
  <si>
    <t>PJ60142</t>
  </si>
  <si>
    <t>AI70039.01</t>
  </si>
  <si>
    <t>PJ07851</t>
  </si>
  <si>
    <t>PJ07852</t>
  </si>
  <si>
    <t>PJ07853</t>
  </si>
  <si>
    <t>PJ07854</t>
  </si>
  <si>
    <t>PJ07855</t>
  </si>
  <si>
    <t>PJ07856</t>
  </si>
  <si>
    <t>PJ07857</t>
  </si>
  <si>
    <t>PJ07858</t>
  </si>
  <si>
    <t>PJ07859</t>
  </si>
  <si>
    <t>PJ07860</t>
  </si>
  <si>
    <t>PJ07861</t>
  </si>
  <si>
    <t>PJ07862</t>
  </si>
  <si>
    <t>PJ07863</t>
  </si>
  <si>
    <t>PJ07864</t>
  </si>
  <si>
    <t>PJ07865</t>
  </si>
  <si>
    <t>PJ07866</t>
  </si>
  <si>
    <t>PJ07867</t>
  </si>
  <si>
    <t>PJ07868</t>
  </si>
  <si>
    <t>PJ07869</t>
  </si>
  <si>
    <t>PJ07870</t>
  </si>
  <si>
    <t>PJ07871</t>
  </si>
  <si>
    <t>PJ07872</t>
  </si>
  <si>
    <t>PJ07873</t>
  </si>
  <si>
    <t>PJ07874</t>
  </si>
  <si>
    <t>PJ07875</t>
  </si>
  <si>
    <t>PJ07876</t>
  </si>
  <si>
    <t>PJ07877</t>
  </si>
  <si>
    <t>PJ07878</t>
  </si>
  <si>
    <t>PJ07879</t>
  </si>
  <si>
    <t>PJ07880</t>
  </si>
  <si>
    <t>PJ07881</t>
  </si>
  <si>
    <t>PJ07882</t>
  </si>
  <si>
    <t>PJ07883</t>
  </si>
  <si>
    <t>PJ07884</t>
  </si>
  <si>
    <t>PJ07885</t>
  </si>
  <si>
    <t>PJ07886</t>
  </si>
  <si>
    <t>PJ07887</t>
  </si>
  <si>
    <t>PJ07888</t>
  </si>
  <si>
    <t>PJ07889</t>
  </si>
  <si>
    <t>PJ07890</t>
  </si>
  <si>
    <t>PJ07891</t>
  </si>
  <si>
    <t>PJ07892</t>
  </si>
  <si>
    <t>PJ07893</t>
  </si>
  <si>
    <t>PJ07894</t>
  </si>
  <si>
    <t>PJ60169</t>
  </si>
  <si>
    <t>PJ60170</t>
  </si>
  <si>
    <t>PJ60171</t>
  </si>
  <si>
    <t>PJ60172</t>
  </si>
  <si>
    <t>PJ60173</t>
  </si>
  <si>
    <t>PJ60174</t>
  </si>
  <si>
    <t>PJ60175</t>
  </si>
  <si>
    <t>PJ60176</t>
  </si>
  <si>
    <t>PJ60177</t>
  </si>
  <si>
    <t>PJ60178</t>
  </si>
  <si>
    <t>PJ60179</t>
  </si>
  <si>
    <t>PJ60180</t>
  </si>
  <si>
    <t>PJ60181</t>
  </si>
  <si>
    <t>PJ60182</t>
  </si>
  <si>
    <t>ECM P/N</t>
  </si>
  <si>
    <t>Subfile 1</t>
  </si>
  <si>
    <t>Subfile 2</t>
  </si>
  <si>
    <t>Subfile 3</t>
  </si>
  <si>
    <t>Subfile 4</t>
  </si>
  <si>
    <t>Subfile 5</t>
  </si>
  <si>
    <t>Subfile 6</t>
  </si>
  <si>
    <t>Subfile 7</t>
  </si>
  <si>
    <t>Subfile 8</t>
  </si>
  <si>
    <t>Eng Config</t>
  </si>
  <si>
    <t>Config</t>
  </si>
  <si>
    <t>Header</t>
  </si>
  <si>
    <t>Bootloader</t>
  </si>
  <si>
    <t>Nonvolatile</t>
  </si>
  <si>
    <t>data</t>
  </si>
  <si>
    <t xml:space="preserve"> P10040.08</t>
  </si>
  <si>
    <t xml:space="preserve"> P10043.08</t>
  </si>
  <si>
    <t xml:space="preserve"> P10095.06</t>
  </si>
  <si>
    <t xml:space="preserve"> P10028.07</t>
  </si>
  <si>
    <t xml:space="preserve"> P10010.09</t>
  </si>
  <si>
    <t xml:space="preserve"> P10012.09</t>
  </si>
  <si>
    <t xml:space="preserve"> P10013.10</t>
  </si>
  <si>
    <t xml:space="preserve"> P10037.07</t>
  </si>
  <si>
    <t xml:space="preserve"> P10048.07</t>
  </si>
  <si>
    <t xml:space="preserve"> P10047.07</t>
  </si>
  <si>
    <t xml:space="preserve"> P10036.07</t>
  </si>
  <si>
    <t xml:space="preserve"> P10039.01</t>
  </si>
  <si>
    <t xml:space="preserve"> P10038.01</t>
  </si>
  <si>
    <t xml:space="preserve"> P10094.06</t>
  </si>
  <si>
    <t xml:space="preserve"> P10034.07</t>
  </si>
  <si>
    <t xml:space="preserve"> P10053.12</t>
  </si>
  <si>
    <t xml:space="preserve"> P10180.02</t>
  </si>
  <si>
    <t xml:space="preserve"> P10076.11</t>
  </si>
  <si>
    <t xml:space="preserve"> P10181.02</t>
  </si>
  <si>
    <t xml:space="preserve"> P10133.03</t>
  </si>
  <si>
    <t xml:space="preserve"> P10074.11</t>
  </si>
  <si>
    <t xml:space="preserve"> P10135.03</t>
  </si>
  <si>
    <t xml:space="preserve"> P10069.11</t>
  </si>
  <si>
    <t xml:space="preserve"> P10184.02</t>
  </si>
  <si>
    <t xml:space="preserve"> P10068.11</t>
  </si>
  <si>
    <t xml:space="preserve"> P10185.02</t>
  </si>
  <si>
    <t xml:space="preserve"> P10067.11</t>
  </si>
  <si>
    <t xml:space="preserve"> P10186.02</t>
  </si>
  <si>
    <t xml:space="preserve"> P10066.11</t>
  </si>
  <si>
    <t xml:space="preserve"> P10187.02</t>
  </si>
  <si>
    <t xml:space="preserve"> P10079.11</t>
  </si>
  <si>
    <t xml:space="preserve"> P10063.11</t>
  </si>
  <si>
    <t xml:space="preserve"> P10192.02</t>
  </si>
  <si>
    <t xml:space="preserve"> P10038.12</t>
  </si>
  <si>
    <t xml:space="preserve"> P70022.10</t>
  </si>
  <si>
    <t xml:space="preserve"> P70053.02</t>
  </si>
  <si>
    <t xml:space="preserve"> P70028.08</t>
  </si>
  <si>
    <t xml:space="preserve"> P70040.06</t>
  </si>
  <si>
    <t xml:space="preserve"> P70044.05</t>
  </si>
  <si>
    <t xml:space="preserve"> P70045.05</t>
  </si>
  <si>
    <t xml:space="preserve"> P70046.05</t>
  </si>
  <si>
    <t xml:space="preserve"> P70047.05</t>
  </si>
  <si>
    <t xml:space="preserve"> P70038.07</t>
  </si>
  <si>
    <t xml:space="preserve"> P70041.05</t>
  </si>
  <si>
    <t xml:space="preserve"> P70052.04</t>
  </si>
  <si>
    <t>Data</t>
  </si>
  <si>
    <r>
      <t xml:space="preserve">GQSK60-G5, 1160kW, 50Hz, 1618BHP@1500RPM, 11.4CR, 18deg timing
     </t>
    </r>
    <r>
      <rPr>
        <u/>
        <sz val="10"/>
        <rFont val="Arial"/>
        <family val="2"/>
      </rPr>
      <t>EC6116</t>
    </r>
    <r>
      <rPr>
        <sz val="10"/>
        <rFont val="Arial"/>
        <family val="2"/>
      </rPr>
      <t xml:space="preserve"> 90C HT, </t>
    </r>
    <r>
      <rPr>
        <u/>
        <sz val="10"/>
        <rFont val="Arial"/>
        <family val="2"/>
      </rPr>
      <t>TB6072</t>
    </r>
    <r>
      <rPr>
        <sz val="10"/>
        <rFont val="Arial"/>
        <family val="2"/>
      </rPr>
      <t xml:space="preserve"> 50C LT, 500mg/Nm3 NOx, 69MN</t>
    </r>
  </si>
  <si>
    <r>
      <t xml:space="preserve">GQSK60-G1, 1160kW, 50Hz, 1618BHP@1500RPM, 11.4CR, 18deg timing
     </t>
    </r>
    <r>
      <rPr>
        <u/>
        <sz val="10"/>
        <rFont val="Arial"/>
        <family val="2"/>
      </rPr>
      <t>EC6116</t>
    </r>
    <r>
      <rPr>
        <sz val="10"/>
        <rFont val="Arial"/>
        <family val="2"/>
      </rPr>
      <t xml:space="preserve"> 90C HT, </t>
    </r>
    <r>
      <rPr>
        <u/>
        <sz val="10"/>
        <rFont val="Arial"/>
        <family val="2"/>
      </rPr>
      <t>TB6072</t>
    </r>
    <r>
      <rPr>
        <sz val="10"/>
        <rFont val="Arial"/>
        <family val="2"/>
      </rPr>
      <t xml:space="preserve"> 50C LT, 500mg/Nm3 NOx, 69MN</t>
    </r>
  </si>
  <si>
    <r>
      <t xml:space="preserve">GQSK60-G2, 1160KW, 50Hz, 1618BHP@1500RPM, 12CR, 18deg timing
     </t>
    </r>
    <r>
      <rPr>
        <u/>
        <sz val="10"/>
        <rFont val="Arial"/>
        <family val="2"/>
      </rPr>
      <t>EC6117</t>
    </r>
    <r>
      <rPr>
        <sz val="10"/>
        <rFont val="Arial"/>
        <family val="2"/>
      </rPr>
      <t xml:space="preserve"> 95C HT, </t>
    </r>
    <r>
      <rPr>
        <u/>
        <sz val="10"/>
        <rFont val="Arial"/>
        <family val="2"/>
      </rPr>
      <t>TB6072</t>
    </r>
    <r>
      <rPr>
        <sz val="10"/>
        <rFont val="Arial"/>
        <family val="2"/>
      </rPr>
      <t xml:space="preserve"> 50C LT, 500mg/Nm3 NOx, 78MN</t>
    </r>
  </si>
  <si>
    <r>
      <t xml:space="preserve">GQSK60-G2, 1160KW, 50Hz, 1618BHP@1500RPM, 12CR, 18deg timing
     </t>
    </r>
    <r>
      <rPr>
        <u/>
        <sz val="10"/>
        <rFont val="Arial"/>
        <family val="2"/>
      </rPr>
      <t>EC6117</t>
    </r>
    <r>
      <rPr>
        <sz val="10"/>
        <rFont val="Arial"/>
        <family val="2"/>
      </rPr>
      <t xml:space="preserve"> 95C HT, </t>
    </r>
    <r>
      <rPr>
        <u/>
        <sz val="10"/>
        <rFont val="Arial"/>
        <family val="2"/>
      </rPr>
      <t>TB6072</t>
    </r>
    <r>
      <rPr>
        <sz val="10"/>
        <rFont val="Arial"/>
        <family val="2"/>
      </rPr>
      <t xml:space="preserve"> 40C LT, 500mg/Nm3 NOx, 67MN</t>
    </r>
  </si>
  <si>
    <r>
      <t xml:space="preserve">GQSK38-G1, kWe, 50Hz, 1500rpm, 12CR, 50C LT
    </t>
    </r>
    <r>
      <rPr>
        <u/>
        <sz val="10"/>
        <rFont val="Arial"/>
        <family val="2"/>
      </rPr>
      <t>TH6763</t>
    </r>
    <r>
      <rPr>
        <sz val="10"/>
        <rFont val="Arial"/>
        <family val="2"/>
      </rPr>
      <t xml:space="preserve"> 94C HT, 1.0g/Nm3 NOx, 74MN </t>
    </r>
  </si>
  <si>
    <t>QSV91Ph1</t>
  </si>
  <si>
    <t>PJ07735 PJ07736</t>
  </si>
  <si>
    <t>PJ06919 PJ06920</t>
  </si>
  <si>
    <t>PJ07795 PJ07796</t>
  </si>
  <si>
    <t>PJ07768 PJ07769</t>
  </si>
  <si>
    <t>PJ07770 PJ07771</t>
  </si>
  <si>
    <t>PJ07778 PJ07779</t>
  </si>
  <si>
    <t>FR07167 FR07236 FR07261 FR07280</t>
  </si>
  <si>
    <t>PJ07780 PJ07781</t>
  </si>
  <si>
    <t>Available Thermostat (TH) Options Shown Must be Selected.  
For Off-Engine Thermostat Option, Choose TH7047</t>
  </si>
  <si>
    <t>Available Thermostat (TH) Options Shown Must be Selected.  
For Off-Engine Thermostat Option, Choose TH7048</t>
  </si>
  <si>
    <t>Available Thermostat (TH) Options Shown Must be Selected.  
For Off-Engine Thermostat Option, Choose TH7049</t>
  </si>
  <si>
    <t>Available Thermostat (TH) Options Shown Must be Selected.  
For Off-Engine Thermostat Option, Choose TH7050</t>
  </si>
  <si>
    <t>Available Thermostat (TH) Options Shown Must be Selected.  
For Off-Engine Thermostat Option, Choose TH7051</t>
  </si>
  <si>
    <t>Available Thermostat (TH) Options Shown Must be Selected.  
For Off-Engine Thermostat Option, Choose TH7052</t>
  </si>
  <si>
    <t>Available Thermostat (TH) Options Shown Must be Selected.  
For Off-Engine Thermostat Option, Choose TH7053</t>
  </si>
  <si>
    <t>Available Thermostat (TH) Options Shown Must be Selected.  
For Off-Engine Thermostat Option, Choose TH7054</t>
  </si>
  <si>
    <t>Available Thermostat (TH) Options Shown Must be Selected.  
For Off-Engine Thermostat Option, Choose TH7055</t>
  </si>
  <si>
    <t>Available Thermostat (TH) Options Shown Must be Selected.  
For Off-Engine Thermostat Option, Choose TH7056</t>
  </si>
  <si>
    <t>Available Thermostat (TH) Options Shown Must be Selected.  
For Off-Engine Thermostat Option, Choose TH7057</t>
  </si>
  <si>
    <t>Available Thermostat (TH) Options Shown Must be Selected.  
For Off-Engine Thermostat Option, Choose TH7058</t>
  </si>
  <si>
    <t>Available Thermostat (TH) Options Shown Must be Selected.  
For Off-Engine Thermostat Option, Choose TH7059</t>
  </si>
  <si>
    <t>Available Thermostat (TH) Options Shown Must be Selected.  
For Off-Engine Thermostat Option, Choose TH7060</t>
  </si>
  <si>
    <t>Available Thermostat (TH) Options Shown Must be Selected.  
For Off-Engine Thermostat Option, Choose TH7061</t>
  </si>
  <si>
    <t>Available Thermostat (TH) Options Shown Must be Selected.  
For Off-Engine Thermostat Option, Choose TH7062</t>
  </si>
  <si>
    <t>Available Thermostat (TH) Options Shown Must be Selected.  
For Off-Engine Thermostat Option, Choose TH7063</t>
  </si>
  <si>
    <t>Available Thermostat (TH) Options Shown Must be Selected.  
For Off-Engine Thermostat Option, Choose TH7064</t>
  </si>
  <si>
    <t>Available Thermostat (TH) Options Shown Must be Selected.  
For Off-Engine Thermostat Option, Choose TH7065</t>
  </si>
  <si>
    <t>Available Thermostat (TH) Options Shown Must be Selected.  
For Off-Engine Thermostat Option, Choose TH7066</t>
  </si>
  <si>
    <t>Available Thermostat (TH) Options Shown Must be Selected.  
For Off-Engine Thermostat Option, Choose TH7067</t>
  </si>
  <si>
    <t>Available Thermostat (TH) Options Shown Must be Selected.  
For Off-Engine Thermostat Option, Choose TH7068</t>
  </si>
  <si>
    <t>Available Thermostat (TH) Options Shown Must be Selected.  
For Off-Engine Thermostat Option, Choose TH7069</t>
  </si>
  <si>
    <t>Available Thermostat (TH) Options Shown Must be Selected.  
For Off-Engine Thermostat Option, Choose TH7070</t>
  </si>
  <si>
    <t>Available Thermostat (TH) Options Shown Must be Selected.  
For Off-Engine Thermostat Option, Choose TH7071</t>
  </si>
  <si>
    <t>Available Thermostat (TH) Options Shown Must be Selected.  
For Off-Engine Thermostat Option, Choose TH7072</t>
  </si>
  <si>
    <t>Available Thermostat (TH) Options Shown Must be Selected.  
For Off-Engine Thermostat Option, Choose TH7073</t>
  </si>
  <si>
    <t>Available Thermostat (TH) Options Shown Must be Selected.  
For Off-Engine Thermostat Option, Choose TH7074</t>
  </si>
  <si>
    <t>Available Thermostat (TH) Options Shown Must be Selected.  
For Off-Engine Thermostat Option, Choose TH7075</t>
  </si>
  <si>
    <t>Available Thermostat (TH) Options Shown Must be Selected.  
For Off-Engine Thermostat Option, Choose TH7076</t>
  </si>
  <si>
    <t>Available Thermostat (TH) Options Shown Must be Selected.  
For Off-Engine Thermostat Option, Choose TH7077</t>
  </si>
  <si>
    <t>Available Thermostat (TH) Options Shown Must be Selected.  
For Off-Engine Thermostat Option, Choose TH7078</t>
  </si>
  <si>
    <t>Available Thermostat (TH) Options Shown Must be Selected.  
For Off-Engine Thermostat Option, Choose TH7079</t>
  </si>
  <si>
    <t>Available Thermostat (TH) Options Shown Must be Selected.  
For Off-Engine Thermostat Option, Choose TH7080</t>
  </si>
  <si>
    <t>Available Thermostat (TH) Options Shown Must be Selected.  
For Off-Engine Thermostat Option, Choose TH7081</t>
  </si>
  <si>
    <t>Available Thermostat (TH) Options Shown Must be Selected.  
For Off-Engine Thermostat Option, Choose TH7082</t>
  </si>
  <si>
    <t>Available Thermostat (TH) Options Shown Must be Selected.  
For Off-Engine Thermostat Option, Choose TH7083</t>
  </si>
  <si>
    <t>Available Thermostat (TH) Options Shown Must be Selected.  
For Off-Engine Thermostat Option, Choose TH7084</t>
  </si>
  <si>
    <t>Available Thermostat (TH) Options Shown Must be Selected.  
For Off-Engine Thermostat Option, Choose TH7085</t>
  </si>
  <si>
    <t>Available Thermostat (TH) Options Shown Must be Selected.  
For Off-Engine Thermostat Option, Choose TH7086</t>
  </si>
  <si>
    <t>Available Thermostat (TH) Options Shown Must be Selected.  
For Off-Engine Thermostat Option, Choose TH7087</t>
  </si>
  <si>
    <t>Available Thermostat (TH) Options Shown Must be Selected.  
For Off-Engine Thermostat Option, Choose TH7088</t>
  </si>
  <si>
    <t>Available Thermostat (TH) Options Shown Must be Selected.  
For Off-Engine Thermostat Option, Choose TH7089</t>
  </si>
  <si>
    <t>Available Thermostat (TH) Options Shown Must be Selected.  
For Off-Engine Thermostat Option, Choose TH7090</t>
  </si>
  <si>
    <t>Available Thermostat (TH) Options Shown Must be Selected.  
For Off-Engine Thermostat Option, Choose TH7091</t>
  </si>
  <si>
    <t>Available Thermostat (TH) Options Shown Must be Selected.  
For Off-Engine Thermostat Option, Choose TH7092</t>
  </si>
  <si>
    <t>Available Thermostat (TH) Options Shown Must be Selected.  
For Off-Engine Thermostat Option, Choose TH7093</t>
  </si>
  <si>
    <t>Available Thermostat (TH) Options Shown Must be Selected.  
For Off-Engine Thermostat Option, Choose TH7094</t>
  </si>
  <si>
    <t>Available Thermostat (TH) Options Shown Must be Selected.  
For Off-Engine Thermostat Option, Choose TH7095</t>
  </si>
  <si>
    <t>Available Thermostat (TH) Options Shown Must be Selected.  
For Off-Engine Thermostat Option, Choose TH7096</t>
  </si>
  <si>
    <t>Available Thermostat (TH) Options Shown Must be Selected.  
For Off-Engine Thermostat Option, Choose TH7097</t>
  </si>
  <si>
    <t>Available Thermostat (TH) Options Shown Must be Selected.  
For Off-Engine Thermostat Option, Choose TH7098</t>
  </si>
  <si>
    <t>Available Thermostat (TH) Options Shown Must be Selected.  
For Off-Engine Thermostat Option, Choose TH7099</t>
  </si>
  <si>
    <t>Available Thermostat (TH) Options Shown Must be Selected.  
For Off-Engine Thermostat Option, Choose TH7100</t>
  </si>
  <si>
    <t>Available Thermostat (TH) Options Shown Must be Selected.  
For Off-Engine Thermostat Option, Choose TH7101</t>
  </si>
  <si>
    <t>Available Thermostat (TH) Options Shown Must be Selected.  
For Off-Engine Thermostat Option, Choose TH7102</t>
  </si>
  <si>
    <t>Available Thermostat (TH) Options Shown Must be Selected.  
For Off-Engine Thermostat Option, Choose TH7103</t>
  </si>
  <si>
    <t>Available Thermostat (TH) Options Shown Must be Selected.  
For Off-Engine Thermostat Option, Choose TH7104</t>
  </si>
  <si>
    <t>Available Thermostat (TH) Options Shown Must be Selected.  
For Off-Engine Thermostat Option, Choose TH7105</t>
  </si>
  <si>
    <t>Available Thermostat (TH) Options Shown Must be Selected.  
For Off-Engine Thermostat Option, Choose TH7106</t>
  </si>
  <si>
    <t>Available Thermostat (TH) Options Shown Must be Selected.  
For Off-Engine Thermostat Option, Choose TH7107</t>
  </si>
  <si>
    <t>Available Thermostat (TH) Options Shown Must be Selected.  
For Off-Engine Thermostat Option, Choose TH7108</t>
  </si>
  <si>
    <t>Available Thermostat (TH) Options Shown Must be Selected.  
For Off-Engine Thermostat Option, Choose TH7109</t>
  </si>
  <si>
    <t>Available Thermostat (TH) Options Shown Must be Selected.  
For Off-Engine Thermostat Option, Choose TH7110</t>
  </si>
  <si>
    <t>Available Thermostat (TH) Options Shown Must be Selected.  
For Off-Engine Thermostat Option, Choose TH7111</t>
  </si>
  <si>
    <t>Available Thermostat (TH) Options Shown Must be Selected.  
For Off-Engine Thermostat Option, Choose TH7112</t>
  </si>
  <si>
    <t>Available Thermostat (TH) Options Shown Must be Selected.  
For Off-Engine Thermostat Option, Choose TH7113</t>
  </si>
  <si>
    <t>Available Thermostat (TH) Options Shown Must be Selected.  
For Off-Engine Thermostat Option, Choose TH7114</t>
  </si>
  <si>
    <t>Available Thermostat (TH) Options Shown Must be Selected.  
For Off-Engine Thermostat Option, Choose TH7115</t>
  </si>
  <si>
    <t>Available Thermostat (TH) Options Shown Must be Selected.  
For Off-Engine Thermostat Option, Choose TH7116</t>
  </si>
  <si>
    <t>Available Thermostat (TH) Options Shown Must be Selected.  
For Off-Engine Thermostat Option, Choose TH7117</t>
  </si>
  <si>
    <t>Available Thermostat (TH) Options Shown Must be Selected.  
For Off-Engine Thermostat Option, Choose TH7118</t>
  </si>
  <si>
    <t>Available Thermostat (TH) Options Shown Must be Selected.  
For Off-Engine Thermostat Option, Choose TH7119</t>
  </si>
  <si>
    <t>Available Thermostat (TH) Options Shown Must be Selected.  
For Off-Engine Thermostat Option, Choose TH7120</t>
  </si>
  <si>
    <t>Available Thermostat (TH) Options Shown Must be Selected.  
For Off-Engine Thermostat Option, Choose TH7121</t>
  </si>
  <si>
    <t>Available Thermostat (TH) Options Shown Must be Selected.  
For Off-Engine Thermostat Option, Choose TH7122</t>
  </si>
  <si>
    <t>Available Thermostat (TH) Options Shown Must be Selected.  
For Off-Engine Thermostat Option, Choose TH7123</t>
  </si>
  <si>
    <t>Available Thermostat (TH) Options Shown Must be Selected.  
For Off-Engine Thermostat Option, Choose TH7124</t>
  </si>
  <si>
    <t>Available Thermostat (TH) Options Shown Must be Selected.  
For Off-Engine Thermostat Option, Choose TH7125</t>
  </si>
  <si>
    <t>Available Thermostat (TH) Options Shown Must be Selected.  
For Off-Engine Thermostat Option, Choose TH7126</t>
  </si>
  <si>
    <t>Available Thermostat (TH) Options Shown Must be Selected.  
For Off-Engine Thermostat Option, Choose TH7127</t>
  </si>
  <si>
    <t>Available Thermostat (TH) Options Shown Must be Selected.  
For Off-Engine Thermostat Option, Choose TH7128</t>
  </si>
  <si>
    <t>Available Thermostat (TH) Options Shown Must be Selected.  
For Off-Engine Thermostat Option, Choose TH7129</t>
  </si>
  <si>
    <t>Available Thermostat (TH) Options Shown Must be Selected.  
For Off-Engine Thermostat Option, Choose TH7130</t>
  </si>
  <si>
    <t>Available Thermostat (TH) Options Shown Must be Selected.  
For Off-Engine Thermostat Option, Choose TH7131</t>
  </si>
  <si>
    <t>Available Thermostat (TH) Options Shown Must be Selected.  
For Off-Engine Thermostat Option, Choose TH7132</t>
  </si>
  <si>
    <t>Available Thermostat (TH) Options Shown Must be Selected.  
For Off-Engine Thermostat Option, Choose TH7133</t>
  </si>
  <si>
    <t>Available Thermostat (TH) Options Shown Must be Selected.  
For Off-Engine Thermostat Option, Choose TH7134</t>
  </si>
  <si>
    <t>Available Thermostat (TH) Options Shown Must be Selected.  
For Off-Engine Thermostat Option, Choose TH7135</t>
  </si>
  <si>
    <t>Available Thermostat (TH) Options Shown Must be Selected.  
For Off-Engine Thermostat Option, Choose TH7136</t>
  </si>
  <si>
    <t>Available Thermostat (TH) Options Shown Must be Selected.  
For Off-Engine Thermostat Option, Choose TH7137</t>
  </si>
  <si>
    <t>Available Thermostat (TH) Options Shown Must be Selected.  
For Off-Engine Thermostat Option, Choose TH7138</t>
  </si>
  <si>
    <t>Available Thermostat (TH) Options Shown Must be Selected.  
For Off-Engine Thermostat Option, Choose TH7139</t>
  </si>
  <si>
    <t>Available Thermostat (TH) Options Shown Must be Selected.  
For Off-Engine Thermostat Option, Choose TH7140</t>
  </si>
  <si>
    <t>Available Thermostat (TH) Options Shown Must be Selected.  
For Off-Engine Thermostat Option, Choose TH7141</t>
  </si>
  <si>
    <t>Available Thermostat (TH) Options Shown Must be Selected.  
For Off-Engine Thermostat Option, Choose TH7142</t>
  </si>
  <si>
    <t>Available Thermostat (TH) Options Shown Must be Selected.  
For Off-Engine Thermostat Option, Choose TH7143</t>
  </si>
  <si>
    <t>Available Thermostat (TH) Options Shown Must be Selected.  
For Off-Engine Thermostat Option, Choose TH7144</t>
  </si>
  <si>
    <t>Available Thermostat (TH) Options Shown Must be Selected.  
For Off-Engine Thermostat Option, Choose TH7145</t>
  </si>
  <si>
    <t>NOTE: See Readme for info on running both check and add macros</t>
  </si>
  <si>
    <t>PJ06730 PJ67310</t>
  </si>
  <si>
    <t>AI70052.03 (AI70042.03)</t>
  </si>
  <si>
    <t>AI70053.03 (AI70043.03)</t>
  </si>
  <si>
    <t>PJ60181 (PJ06844)</t>
  </si>
  <si>
    <t>AI10221.00</t>
  </si>
  <si>
    <t>PJ04730</t>
  </si>
  <si>
    <t>AI10211.01</t>
  </si>
  <si>
    <t>AI10213.01</t>
  </si>
  <si>
    <t>AI70094.00</t>
  </si>
  <si>
    <t>AI70095.00</t>
  </si>
  <si>
    <t>AI70096.00</t>
  </si>
  <si>
    <t>AI70097.00</t>
  </si>
  <si>
    <t>AI70098.00</t>
  </si>
  <si>
    <t>AI70099.00</t>
  </si>
  <si>
    <t>AI70100.00</t>
  </si>
  <si>
    <t>AI70101.00</t>
  </si>
  <si>
    <t>AI70102.00</t>
  </si>
  <si>
    <t>AI70103.00</t>
  </si>
  <si>
    <t>AI70104.00</t>
  </si>
  <si>
    <t>AI70105.00</t>
  </si>
  <si>
    <t>AI70082.01</t>
  </si>
  <si>
    <t>AI70084.01</t>
  </si>
  <si>
    <t>AI70086.01</t>
  </si>
  <si>
    <t>AI70088.01</t>
  </si>
  <si>
    <t>AI70090.01</t>
  </si>
  <si>
    <t>AI70092.01</t>
  </si>
  <si>
    <t xml:space="preserve"> P10046.09</t>
  </si>
  <si>
    <t xml:space="preserve"> P10045.09</t>
  </si>
  <si>
    <t xml:space="preserve"> P10044.09</t>
  </si>
  <si>
    <t xml:space="preserve"> P10042.09</t>
  </si>
  <si>
    <t xml:space="preserve"> P10027.08</t>
  </si>
  <si>
    <t xml:space="preserve"> P10011.10</t>
  </si>
  <si>
    <t xml:space="preserve"> P10041.09</t>
  </si>
  <si>
    <t xml:space="preserve"> P10026.08</t>
  </si>
  <si>
    <t xml:space="preserve"> P10029.08</t>
  </si>
  <si>
    <t xml:space="preserve"> P10030.08</t>
  </si>
  <si>
    <t xml:space="preserve"> P10014.09</t>
  </si>
  <si>
    <t xml:space="preserve"> P10025.08</t>
  </si>
  <si>
    <t xml:space="preserve"> P10059.13</t>
  </si>
  <si>
    <t xml:space="preserve"> P10060.13</t>
  </si>
  <si>
    <t xml:space="preserve"> P10051.13</t>
  </si>
  <si>
    <t xml:space="preserve"> P10127.04</t>
  </si>
  <si>
    <t xml:space="preserve"> P10055.13</t>
  </si>
  <si>
    <t xml:space="preserve"> P10128.04</t>
  </si>
  <si>
    <t xml:space="preserve"> P10054.13</t>
  </si>
  <si>
    <t xml:space="preserve"> P10179.03</t>
  </si>
  <si>
    <t xml:space="preserve"> P10056.13</t>
  </si>
  <si>
    <t xml:space="preserve"> P10129.04</t>
  </si>
  <si>
    <t xml:space="preserve"> P10052.13</t>
  </si>
  <si>
    <t xml:space="preserve"> P10130.04</t>
  </si>
  <si>
    <t xml:space="preserve"> P10058.13</t>
  </si>
  <si>
    <t xml:space="preserve"> P10131.04</t>
  </si>
  <si>
    <t xml:space="preserve"> P10057.13</t>
  </si>
  <si>
    <t xml:space="preserve"> P10132.04</t>
  </si>
  <si>
    <t xml:space="preserve"> P10073.12</t>
  </si>
  <si>
    <t xml:space="preserve"> P10134.04</t>
  </si>
  <si>
    <t xml:space="preserve"> P10072.12</t>
  </si>
  <si>
    <t xml:space="preserve"> P10182.03</t>
  </si>
  <si>
    <t xml:space="preserve"> P10071.12</t>
  </si>
  <si>
    <t xml:space="preserve"> P10183.03</t>
  </si>
  <si>
    <t xml:space="preserve"> P10065.12</t>
  </si>
  <si>
    <t xml:space="preserve"> P10080.12</t>
  </si>
  <si>
    <t xml:space="preserve"> P10078.12</t>
  </si>
  <si>
    <t xml:space="preserve"> P10090.12</t>
  </si>
  <si>
    <t xml:space="preserve"> P10190.03</t>
  </si>
  <si>
    <t xml:space="preserve"> P10089.12</t>
  </si>
  <si>
    <t xml:space="preserve"> P10191.03</t>
  </si>
  <si>
    <t xml:space="preserve"> P10088.12</t>
  </si>
  <si>
    <t xml:space="preserve"> P10137.04</t>
  </si>
  <si>
    <t xml:space="preserve"> P10086.12</t>
  </si>
  <si>
    <t xml:space="preserve"> P10138.04</t>
  </si>
  <si>
    <t xml:space="preserve"> P10096.12</t>
  </si>
  <si>
    <t xml:space="preserve"> P10193.03</t>
  </si>
  <si>
    <t xml:space="preserve"> P10144.03</t>
  </si>
  <si>
    <t xml:space="preserve"> P10145.03</t>
  </si>
  <si>
    <t xml:space="preserve"> P10146.03</t>
  </si>
  <si>
    <t xml:space="preserve"> P10147.03</t>
  </si>
  <si>
    <t xml:space="preserve"> P10148.03</t>
  </si>
  <si>
    <t xml:space="preserve"> P10149.03</t>
  </si>
  <si>
    <t xml:space="preserve"> P10150.03</t>
  </si>
  <si>
    <t xml:space="preserve"> P10151.03</t>
  </si>
  <si>
    <t xml:space="preserve"> P10152.03</t>
  </si>
  <si>
    <t xml:space="preserve"> P10153.03</t>
  </si>
  <si>
    <t xml:space="preserve"> P10154.03</t>
  </si>
  <si>
    <t xml:space="preserve"> P10155.03</t>
  </si>
  <si>
    <t xml:space="preserve"> P10156.03</t>
  </si>
  <si>
    <t xml:space="preserve"> P10157.03</t>
  </si>
  <si>
    <t xml:space="preserve"> P10158.03</t>
  </si>
  <si>
    <t xml:space="preserve"> P10159.03</t>
  </si>
  <si>
    <t xml:space="preserve"> P10160.03</t>
  </si>
  <si>
    <t xml:space="preserve"> P10161.03</t>
  </si>
  <si>
    <t xml:space="preserve"> P10162.03</t>
  </si>
  <si>
    <t xml:space="preserve"> P10163.03</t>
  </si>
  <si>
    <t xml:space="preserve"> P10164.03</t>
  </si>
  <si>
    <t xml:space="preserve"> P10165.03</t>
  </si>
  <si>
    <t xml:space="preserve"> P10166.03</t>
  </si>
  <si>
    <t xml:space="preserve"> P10167.03</t>
  </si>
  <si>
    <t xml:space="preserve"> P10168.03</t>
  </si>
  <si>
    <t xml:space="preserve"> P10169.03</t>
  </si>
  <si>
    <t xml:space="preserve"> P10170.03</t>
  </si>
  <si>
    <t xml:space="preserve"> P10171.03</t>
  </si>
  <si>
    <t xml:space="preserve"> P10172.03</t>
  </si>
  <si>
    <t xml:space="preserve"> P10173.03</t>
  </si>
  <si>
    <t xml:space="preserve"> P10174.03</t>
  </si>
  <si>
    <t xml:space="preserve"> P10175.03</t>
  </si>
  <si>
    <t xml:space="preserve"> P10176.03</t>
  </si>
  <si>
    <t xml:space="preserve"> P10177.03</t>
  </si>
  <si>
    <t xml:space="preserve"> P70048.05</t>
  </si>
  <si>
    <t xml:space="preserve"> P70049.05</t>
  </si>
  <si>
    <t xml:space="preserve"> P70050.05</t>
  </si>
  <si>
    <t xml:space="preserve"> P70051.05</t>
  </si>
  <si>
    <t xml:space="preserve"> P70074.01</t>
  </si>
  <si>
    <t xml:space="preserve"> P70075.01</t>
  </si>
  <si>
    <t xml:space="preserve"> P70076.01</t>
  </si>
  <si>
    <t xml:space="preserve"> P70077.01</t>
  </si>
  <si>
    <t xml:space="preserve"> P10125.04</t>
  </si>
  <si>
    <t xml:space="preserve"> P10178.03</t>
  </si>
  <si>
    <t xml:space="preserve"> P70042.06</t>
  </si>
  <si>
    <t xml:space="preserve"> P70043.06</t>
  </si>
  <si>
    <t xml:space="preserve"> P70059.04</t>
  </si>
  <si>
    <t xml:space="preserve"> P70060.04</t>
  </si>
  <si>
    <t xml:space="preserve"> P70061.04</t>
  </si>
  <si>
    <t xml:space="preserve"> P70062.04</t>
  </si>
  <si>
    <t xml:space="preserve"> P70063.04</t>
  </si>
  <si>
    <t xml:space="preserve"> P70064.04</t>
  </si>
  <si>
    <t xml:space="preserve"> P70065.04</t>
  </si>
  <si>
    <t xml:space="preserve"> P70066.04</t>
  </si>
  <si>
    <t xml:space="preserve"> P70067.04</t>
  </si>
  <si>
    <t xml:space="preserve"> P70068.04</t>
  </si>
  <si>
    <t xml:space="preserve"> P70072.01</t>
  </si>
  <si>
    <t xml:space="preserve"> P70073.01</t>
  </si>
  <si>
    <t>Production / Service</t>
  </si>
  <si>
    <t xml:space="preserve"> P10100.10</t>
  </si>
  <si>
    <t xml:space="preserve"> P10099.07</t>
  </si>
  <si>
    <t xml:space="preserve"> P10102.07</t>
  </si>
  <si>
    <t xml:space="preserve"> P10101.07</t>
  </si>
  <si>
    <t xml:space="preserve"> P10103.07</t>
  </si>
  <si>
    <t xml:space="preserve"> P10204.00</t>
  </si>
  <si>
    <t>SC40573</t>
  </si>
  <si>
    <t>DO04845</t>
  </si>
  <si>
    <t>FR04569</t>
  </si>
  <si>
    <t xml:space="preserve"> P10117.05</t>
  </si>
  <si>
    <t xml:space="preserve"> P10118.05</t>
  </si>
  <si>
    <t xml:space="preserve"> P10119.05</t>
  </si>
  <si>
    <t xml:space="preserve"> P10120.05</t>
  </si>
  <si>
    <t xml:space="preserve"> P10104.10</t>
  </si>
  <si>
    <t xml:space="preserve"> P10121.05</t>
  </si>
  <si>
    <t xml:space="preserve"> P10122.05</t>
  </si>
  <si>
    <t xml:space="preserve"> P10123.05</t>
  </si>
  <si>
    <t xml:space="preserve"> P10124.05</t>
  </si>
  <si>
    <t xml:space="preserve"> P10195.02</t>
  </si>
  <si>
    <t xml:space="preserve"> P10196.02</t>
  </si>
  <si>
    <t>FR07340</t>
  </si>
  <si>
    <t xml:space="preserve"> P70078.00</t>
  </si>
  <si>
    <t>SC61000</t>
  </si>
  <si>
    <t>DO60160</t>
  </si>
  <si>
    <t>FR06942</t>
  </si>
  <si>
    <t xml:space="preserve"> P70079.00</t>
  </si>
  <si>
    <t>SC61001</t>
  </si>
  <si>
    <t>DO60161</t>
  </si>
  <si>
    <t>FR06943</t>
  </si>
  <si>
    <t xml:space="preserve"> P70080.00</t>
  </si>
  <si>
    <t>SC61002</t>
  </si>
  <si>
    <t>DO60162</t>
  </si>
  <si>
    <t>FR06944</t>
  </si>
  <si>
    <t xml:space="preserve"> P70081.00</t>
  </si>
  <si>
    <t>SC61003</t>
  </si>
  <si>
    <t>DO60163</t>
  </si>
  <si>
    <t>FR06945</t>
  </si>
  <si>
    <t xml:space="preserve"> P70082.00</t>
  </si>
  <si>
    <t>SC61004</t>
  </si>
  <si>
    <t>DO60164</t>
  </si>
  <si>
    <t>FR06946</t>
  </si>
  <si>
    <t xml:space="preserve"> P70083.00</t>
  </si>
  <si>
    <t>SC61005</t>
  </si>
  <si>
    <t>DO60165</t>
  </si>
  <si>
    <t>FR06947</t>
  </si>
  <si>
    <t>Release Date</t>
  </si>
  <si>
    <t>Revision Number</t>
  </si>
  <si>
    <t>Changes Made</t>
  </si>
  <si>
    <t>000</t>
  </si>
  <si>
    <t>Initial Release</t>
  </si>
  <si>
    <t>AI10207.02</t>
  </si>
  <si>
    <t>AI10209.02</t>
  </si>
  <si>
    <r>
      <t xml:space="preserve">GQSK60-G9, 1400kW, 50Hz, 1953BHP@1500RPM, 13.7CR, 20deg timing
     </t>
    </r>
    <r>
      <rPr>
        <u/>
        <sz val="10"/>
        <rFont val="Arial"/>
        <family val="2"/>
      </rPr>
      <t>EC6116</t>
    </r>
    <r>
      <rPr>
        <sz val="10"/>
        <rFont val="Arial"/>
        <family val="2"/>
      </rPr>
      <t xml:space="preserve"> 90C HT, </t>
    </r>
    <r>
      <rPr>
        <u/>
        <sz val="10"/>
        <rFont val="Arial"/>
        <family val="2"/>
      </rPr>
      <t>TB6075</t>
    </r>
    <r>
      <rPr>
        <sz val="10"/>
        <rFont val="Arial"/>
        <family val="2"/>
      </rPr>
      <t xml:space="preserve"> 40C LT, 500mg/Nm3 NOx, 78MN</t>
    </r>
  </si>
  <si>
    <t>QSK60 HiEff, 1000kWe, 60Hz, 1200rpm, 13.7CR, 90C HT, 40C LT, 20deg
     1.0g/Hp-hr NOx, 72MN</t>
  </si>
  <si>
    <t>QSK60 HiEff, 1100kWe, 60Hz, 1200rpm, 13.7CR, 90C HT, 40C LT, 20deg
     1.0g/Hp-hr NOx, 82MN</t>
  </si>
  <si>
    <t>PJ60255 PJ60256</t>
  </si>
  <si>
    <t>PJ60257 PJ60258</t>
  </si>
  <si>
    <t>PJ60259 PJ60260</t>
  </si>
  <si>
    <t>PJ60261 PJ60262</t>
  </si>
  <si>
    <t>PJ60263 PJ60264</t>
  </si>
  <si>
    <t>PJ60265 PJ60266</t>
  </si>
  <si>
    <t>QSK60 HiEff, 1000kWe, 60Hz, 1200rpm, 12.7CR, 90C HT, 40C LT, 18deg
     0.5g/Hp-hr NOx, 62MN
     0.7g/Hp-hr NOx, 64MN
     1.0g/Hp-hr NOx, 68MN</t>
  </si>
  <si>
    <t>QSK60 HiEff, 1100kWe, 60Hz, 1200rpm, 13.7CR, 90C HT, 40C LT, 18deg
     0.5g/Hp-hr NOx, 70MN
     0.7g/Hp-hr NOx, 71MN
     1.0g/Hp-hr NOx, 76MN</t>
  </si>
  <si>
    <t>QSK60 HiEff, 1000kWe, 60Hz, 1200rpm, 13.7CR, 90C HT, 40C LT, 18deg
     0.5g/Hp-hr NOx, 62MN
     0.7g/Hp-hr NOx, 64MN
     1.0g/Hp-hr NOx, 68MN</t>
  </si>
  <si>
    <r>
      <t xml:space="preserve">GQSK60-G10, 1400kW, 50Hz, 1953BHP@1500RPM, 13.7CR, 18deg timing
     </t>
    </r>
    <r>
      <rPr>
        <u/>
        <sz val="10"/>
        <rFont val="Arial"/>
        <family val="2"/>
      </rPr>
      <t>EC6116</t>
    </r>
    <r>
      <rPr>
        <sz val="10"/>
        <rFont val="Arial"/>
        <family val="2"/>
      </rPr>
      <t xml:space="preserve"> 90C HT, </t>
    </r>
    <r>
      <rPr>
        <u/>
        <sz val="10"/>
        <rFont val="Arial"/>
        <family val="2"/>
      </rPr>
      <t>TB6075</t>
    </r>
    <r>
      <rPr>
        <sz val="10"/>
        <rFont val="Arial"/>
        <family val="2"/>
      </rPr>
      <t xml:space="preserve"> 40C LT, 250mg/Nm3 NOx, 73MN
     </t>
    </r>
    <r>
      <rPr>
        <u/>
        <sz val="10"/>
        <rFont val="Arial"/>
        <family val="2"/>
      </rPr>
      <t>EC6116</t>
    </r>
    <r>
      <rPr>
        <sz val="10"/>
        <rFont val="Arial"/>
        <family val="2"/>
      </rPr>
      <t xml:space="preserve"> 90C HT, </t>
    </r>
    <r>
      <rPr>
        <u/>
        <sz val="10"/>
        <rFont val="Arial"/>
        <family val="2"/>
      </rPr>
      <t>TB6075</t>
    </r>
    <r>
      <rPr>
        <sz val="10"/>
        <rFont val="Arial"/>
        <family val="2"/>
      </rPr>
      <t xml:space="preserve"> 40C LT, 500mg/Nm3 NOx, 73MN</t>
    </r>
  </si>
  <si>
    <t>AI10054.12</t>
  </si>
  <si>
    <t>AI10043.11</t>
  </si>
  <si>
    <t>AI10046.10</t>
  </si>
  <si>
    <t>AI10051.12</t>
  </si>
  <si>
    <t>AI10107.04</t>
  </si>
  <si>
    <t>AI10113.03</t>
  </si>
  <si>
    <t>AI10115.03</t>
  </si>
  <si>
    <t>AI10203.03</t>
  </si>
  <si>
    <t>AI10205.03</t>
  </si>
  <si>
    <t>001</t>
  </si>
  <si>
    <t>Added QSP Codes:  P10204.00,  P10197.01,  P70078.00, P70079.00,  P70080.00,  P70081.00,  P70082.00,  P70083.00
Added AAB Codes: AI10221.00, AI70094.00, AI70095.00, AI70096.00, AI70097.00, AI70098.00, AI70099.00, AI70100.00, AI70101.00, AI70102.00, AI70103.00, AI70104.00, AI70105.00</t>
  </si>
  <si>
    <r>
      <t xml:space="preserve">QSV91-G, 1750kW, 50Hz, 1500rpm, 16bar, 11.4CR, 50C LT
     </t>
    </r>
    <r>
      <rPr>
        <u/>
        <sz val="10"/>
        <rFont val="Arial"/>
        <family val="2"/>
      </rPr>
      <t>TH7043</t>
    </r>
    <r>
      <rPr>
        <sz val="10"/>
        <rFont val="Arial"/>
        <family val="2"/>
      </rPr>
      <t xml:space="preserve"> 95C HT, 500mg/Nm3 NOx, 67MN</t>
    </r>
  </si>
  <si>
    <r>
      <t xml:space="preserve">QSV91-G, 1750kW, 50Hz, 1500rpm, 16bar, 12CR, 50C LT
     </t>
    </r>
    <r>
      <rPr>
        <u/>
        <sz val="10"/>
        <rFont val="Arial"/>
        <family val="2"/>
      </rPr>
      <t>TH7043</t>
    </r>
    <r>
      <rPr>
        <sz val="10"/>
        <rFont val="Arial"/>
        <family val="2"/>
      </rPr>
      <t xml:space="preserve"> 95C HT, 500mg/Nm3 NOx, 77MN
     </t>
    </r>
    <r>
      <rPr>
        <u/>
        <sz val="10"/>
        <rFont val="Arial"/>
        <family val="2"/>
      </rPr>
      <t>TH7047</t>
    </r>
    <r>
      <rPr>
        <sz val="10"/>
        <rFont val="Arial"/>
        <family val="2"/>
      </rPr>
      <t xml:space="preserve"> 110C HT, 500mg/Nm3 NOx, 80MN</t>
    </r>
  </si>
  <si>
    <r>
      <t xml:space="preserve">QSV91-G, 1540kW, 50Hz, 1500rpm, 14bar, 11.4CR, 50C LT
     </t>
    </r>
    <r>
      <rPr>
        <u/>
        <sz val="10"/>
        <rFont val="Arial"/>
        <family val="2"/>
      </rPr>
      <t>TH7043</t>
    </r>
    <r>
      <rPr>
        <sz val="10"/>
        <rFont val="Arial"/>
        <family val="2"/>
      </rPr>
      <t xml:space="preserve"> 95C HT, 350mg/Nm3 NOx, 59MN
     </t>
    </r>
    <r>
      <rPr>
        <u/>
        <sz val="10"/>
        <rFont val="Arial"/>
        <family val="2"/>
      </rPr>
      <t>TH7047</t>
    </r>
    <r>
      <rPr>
        <sz val="10"/>
        <rFont val="Arial"/>
        <family val="2"/>
      </rPr>
      <t xml:space="preserve"> 110C HT, 350mg/Nm3 NOx, 60MN</t>
    </r>
  </si>
  <si>
    <r>
      <t xml:space="preserve">QSV91-G, 1540kW, 50Hz, 1500rpm, 14bar, 10.5CR, 50C LT
     </t>
    </r>
    <r>
      <rPr>
        <u/>
        <sz val="10"/>
        <rFont val="Arial"/>
        <family val="2"/>
      </rPr>
      <t>TH7043</t>
    </r>
    <r>
      <rPr>
        <sz val="10"/>
        <rFont val="Arial"/>
        <family val="2"/>
      </rPr>
      <t xml:space="preserve"> 95C HT, 500mg/Nm3 NOx, 52MN</t>
    </r>
  </si>
  <si>
    <r>
      <t xml:space="preserve">QSV91-G, 1540kW, 50Hz, 1500rpm, 14bar, 11.4CR, 50C LT
     </t>
    </r>
    <r>
      <rPr>
        <u/>
        <sz val="10"/>
        <rFont val="Arial"/>
        <family val="2"/>
      </rPr>
      <t>TH7043</t>
    </r>
    <r>
      <rPr>
        <sz val="10"/>
        <rFont val="Arial"/>
        <family val="2"/>
      </rPr>
      <t xml:space="preserve"> 95C HT, 500mg/Nm3 NOx or 1TAL, 60MN
     </t>
    </r>
    <r>
      <rPr>
        <u/>
        <sz val="10"/>
        <rFont val="Arial"/>
        <family val="2"/>
      </rPr>
      <t>TH7047</t>
    </r>
    <r>
      <rPr>
        <sz val="10"/>
        <rFont val="Arial"/>
        <family val="2"/>
      </rPr>
      <t xml:space="preserve"> 110C HT, 500mg/Nm3 NOx or 1TAL, 63MN</t>
    </r>
  </si>
  <si>
    <r>
      <t xml:space="preserve">QSV91-G, 1540kW, 50Hz, 1500rpm, 14bar, 12CR, 50C LT
     </t>
    </r>
    <r>
      <rPr>
        <u/>
        <sz val="10"/>
        <rFont val="Arial"/>
        <family val="2"/>
      </rPr>
      <t>TH7043</t>
    </r>
    <r>
      <rPr>
        <sz val="10"/>
        <rFont val="Arial"/>
        <family val="2"/>
      </rPr>
      <t xml:space="preserve"> 95C HT, 500mg/Nm3 NOx, 70MN
     </t>
    </r>
    <r>
      <rPr>
        <u/>
        <sz val="10"/>
        <rFont val="Arial"/>
        <family val="2"/>
      </rPr>
      <t>TH7047</t>
    </r>
    <r>
      <rPr>
        <sz val="10"/>
        <rFont val="Arial"/>
        <family val="2"/>
      </rPr>
      <t xml:space="preserve"> 110C HT, 500mg/Nm3 NOx, 73MN</t>
    </r>
  </si>
  <si>
    <r>
      <t xml:space="preserve">QSV91-G, 1750kW, 60Hz, 1514rpm &amp; GearBox, 16bar, 12CR, 50C LT
     </t>
    </r>
    <r>
      <rPr>
        <u/>
        <sz val="10"/>
        <rFont val="Arial"/>
        <family val="2"/>
      </rPr>
      <t>TH7043</t>
    </r>
    <r>
      <rPr>
        <sz val="10"/>
        <rFont val="Arial"/>
        <family val="2"/>
      </rPr>
      <t xml:space="preserve"> 95C HT, 350mg/Nm3 NOx, 67MN
     </t>
    </r>
    <r>
      <rPr>
        <u/>
        <sz val="10"/>
        <rFont val="Arial"/>
        <family val="2"/>
      </rPr>
      <t>TH7043</t>
    </r>
    <r>
      <rPr>
        <sz val="10"/>
        <rFont val="Arial"/>
        <family val="2"/>
      </rPr>
      <t xml:space="preserve"> 95C HT, 500mg/Nm3 NOx, 70MN
     </t>
    </r>
    <r>
      <rPr>
        <u/>
        <sz val="10"/>
        <rFont val="Arial"/>
        <family val="2"/>
      </rPr>
      <t>TH7047</t>
    </r>
    <r>
      <rPr>
        <sz val="10"/>
        <rFont val="Arial"/>
        <family val="2"/>
      </rPr>
      <t xml:space="preserve"> 110C HT, 350mg/Nm3 NOx, 77MN
     </t>
    </r>
    <r>
      <rPr>
        <u/>
        <sz val="10"/>
        <rFont val="Arial"/>
        <family val="2"/>
      </rPr>
      <t>TH7047</t>
    </r>
    <r>
      <rPr>
        <sz val="10"/>
        <rFont val="Arial"/>
        <family val="2"/>
      </rPr>
      <t xml:space="preserve"> 110C HT, 500mg/Nm3 NOx, 80MN</t>
    </r>
  </si>
  <si>
    <r>
      <t xml:space="preserve">QSV91-G, 1540kW, 50Hz, 1500rpm, 14bar, 12CR, 50C LT
     </t>
    </r>
    <r>
      <rPr>
        <u/>
        <sz val="10"/>
        <rFont val="Arial"/>
        <family val="2"/>
      </rPr>
      <t>TH7043</t>
    </r>
    <r>
      <rPr>
        <sz val="10"/>
        <rFont val="Arial"/>
        <family val="2"/>
      </rPr>
      <t xml:space="preserve"> 95C HT, 350mg/Nm3 NOx, 70MN
     </t>
    </r>
    <r>
      <rPr>
        <u/>
        <sz val="10"/>
        <rFont val="Arial"/>
        <family val="2"/>
      </rPr>
      <t>TH7047</t>
    </r>
    <r>
      <rPr>
        <sz val="10"/>
        <rFont val="Arial"/>
        <family val="2"/>
      </rPr>
      <t xml:space="preserve"> 110C HT, 350mg/Nm3 NOx, 73MN</t>
    </r>
  </si>
  <si>
    <r>
      <t xml:space="preserve">QSV91-G, 1250kW, 60Hz, 1200rpm, 14bar, 11.4CR, 50C LT
     </t>
    </r>
    <r>
      <rPr>
        <u/>
        <sz val="10"/>
        <rFont val="Arial"/>
        <family val="2"/>
      </rPr>
      <t>TH7043</t>
    </r>
    <r>
      <rPr>
        <sz val="10"/>
        <rFont val="Arial"/>
        <family val="2"/>
      </rPr>
      <t xml:space="preserve"> 95C HT, 350mg/Nm3 NOx, 60MN
     </t>
    </r>
    <r>
      <rPr>
        <u/>
        <sz val="10"/>
        <rFont val="Arial"/>
        <family val="2"/>
      </rPr>
      <t>TH7043</t>
    </r>
    <r>
      <rPr>
        <sz val="10"/>
        <rFont val="Arial"/>
        <family val="2"/>
      </rPr>
      <t xml:space="preserve"> 95C HT, 500mg/Nm3 NOx, 60MN
     </t>
    </r>
    <r>
      <rPr>
        <u/>
        <sz val="10"/>
        <rFont val="Arial"/>
        <family val="2"/>
      </rPr>
      <t>TH7047</t>
    </r>
    <r>
      <rPr>
        <sz val="10"/>
        <rFont val="Arial"/>
        <family val="2"/>
      </rPr>
      <t xml:space="preserve"> 110C HT, 350mg/Nm3 NOx, 59MN
     </t>
    </r>
    <r>
      <rPr>
        <u/>
        <sz val="10"/>
        <rFont val="Arial"/>
        <family val="2"/>
      </rPr>
      <t>TH7047</t>
    </r>
    <r>
      <rPr>
        <sz val="10"/>
        <rFont val="Arial"/>
        <family val="2"/>
      </rPr>
      <t xml:space="preserve"> 110C HT, 500mg/Nm3 NOx, 63MN</t>
    </r>
  </si>
  <si>
    <r>
      <t xml:space="preserve">QSV91-G, 1250kW, 60Hz, 1200rpm, 14bar, 12CR, 50C LT
     </t>
    </r>
    <r>
      <rPr>
        <u/>
        <sz val="10"/>
        <rFont val="Arial"/>
        <family val="2"/>
      </rPr>
      <t>TH7043</t>
    </r>
    <r>
      <rPr>
        <sz val="10"/>
        <rFont val="Arial"/>
        <family val="2"/>
      </rPr>
      <t xml:space="preserve"> 95C HT, 350mg/Nm3 NOx, 66MN
     </t>
    </r>
    <r>
      <rPr>
        <u/>
        <sz val="10"/>
        <rFont val="Arial"/>
        <family val="2"/>
      </rPr>
      <t>TH7043</t>
    </r>
    <r>
      <rPr>
        <sz val="10"/>
        <rFont val="Arial"/>
        <family val="2"/>
      </rPr>
      <t xml:space="preserve"> 95C HT, 500mg/Nm3 NOx, 70MN
     </t>
    </r>
    <r>
      <rPr>
        <u/>
        <sz val="10"/>
        <rFont val="Arial"/>
        <family val="2"/>
      </rPr>
      <t>TH7047</t>
    </r>
    <r>
      <rPr>
        <sz val="10"/>
        <rFont val="Arial"/>
        <family val="2"/>
      </rPr>
      <t xml:space="preserve"> 110C HT, 350mg/Nm3 NOx, 73MN
     </t>
    </r>
    <r>
      <rPr>
        <u/>
        <sz val="10"/>
        <rFont val="Arial"/>
        <family val="2"/>
      </rPr>
      <t>TH7047</t>
    </r>
    <r>
      <rPr>
        <sz val="10"/>
        <rFont val="Arial"/>
        <family val="2"/>
      </rPr>
      <t xml:space="preserve"> 110C HT, 500mg/Nm3 NOx, 73MN</t>
    </r>
  </si>
  <si>
    <r>
      <t xml:space="preserve">QSV91-G, 1750kW, 50Hz, 1500rpm, 16bar, 11.4CR, 50C LT
     </t>
    </r>
    <r>
      <rPr>
        <u/>
        <sz val="10"/>
        <rFont val="Arial"/>
        <family val="2"/>
      </rPr>
      <t>TH7043</t>
    </r>
    <r>
      <rPr>
        <sz val="10"/>
        <rFont val="Arial"/>
        <family val="2"/>
      </rPr>
      <t xml:space="preserve"> 95C HT, 350mg/Nm3 NOx, 63MN</t>
    </r>
  </si>
  <si>
    <r>
      <t xml:space="preserve">QSV91-G, 1750kW, 50Hz, 1500rpm, 16bar, 12CR, 50C LT
     </t>
    </r>
    <r>
      <rPr>
        <u/>
        <sz val="10"/>
        <rFont val="Arial"/>
        <family val="2"/>
      </rPr>
      <t>TH7043</t>
    </r>
    <r>
      <rPr>
        <sz val="10"/>
        <rFont val="Arial"/>
        <family val="2"/>
      </rPr>
      <t xml:space="preserve"> 95C HT, 350mg/Nm3 NOx, 73MN
     </t>
    </r>
    <r>
      <rPr>
        <u/>
        <sz val="10"/>
        <rFont val="Arial"/>
        <family val="2"/>
      </rPr>
      <t>TH7047</t>
    </r>
    <r>
      <rPr>
        <sz val="10"/>
        <rFont val="Arial"/>
        <family val="2"/>
      </rPr>
      <t xml:space="preserve"> 110C HT, 350mg/Nm3 NOx, 80MN</t>
    </r>
  </si>
  <si>
    <r>
      <t xml:space="preserve">QSV91-G, 1750kW, 60Hz, 1514rpm &amp; GearBox, 16bar, 11.4CR, 50C LT
     </t>
    </r>
    <r>
      <rPr>
        <u/>
        <sz val="10"/>
        <rFont val="Arial"/>
        <family val="2"/>
      </rPr>
      <t>TH7043</t>
    </r>
    <r>
      <rPr>
        <sz val="10"/>
        <rFont val="Arial"/>
        <family val="2"/>
      </rPr>
      <t xml:space="preserve"> 95C HT, 350mg/Nm3 NOx, 63MN
     </t>
    </r>
    <r>
      <rPr>
        <u/>
        <sz val="10"/>
        <rFont val="Arial"/>
        <family val="2"/>
      </rPr>
      <t>TH7043</t>
    </r>
    <r>
      <rPr>
        <sz val="10"/>
        <rFont val="Arial"/>
        <family val="2"/>
      </rPr>
      <t xml:space="preserve"> 95C HT, 500mg/Nm3 NOx, 67MN</t>
    </r>
  </si>
  <si>
    <r>
      <t xml:space="preserve">QSV91-G2, 1750kW, 50Hz, 1500rpm, 16bar, 12CR, 50C LT
     </t>
    </r>
    <r>
      <rPr>
        <u/>
        <sz val="10"/>
        <rFont val="Arial"/>
        <family val="2"/>
      </rPr>
      <t>TH7047</t>
    </r>
    <r>
      <rPr>
        <sz val="10"/>
        <rFont val="Arial"/>
        <family val="2"/>
      </rPr>
      <t xml:space="preserve"> 103C HT, 500mg/Nm3 NOx, 80MN, LowBTU</t>
    </r>
  </si>
  <si>
    <r>
      <t xml:space="preserve">QSV91-G2, 1750kW, 60Hz, 1514rpm &amp; GearBox, 16bar, 12CR, 50C LT
     </t>
    </r>
    <r>
      <rPr>
        <u/>
        <sz val="10"/>
        <rFont val="Arial"/>
        <family val="2"/>
      </rPr>
      <t>TH7047</t>
    </r>
    <r>
      <rPr>
        <sz val="10"/>
        <rFont val="Arial"/>
        <family val="2"/>
      </rPr>
      <t xml:space="preserve"> 103C HT, 500mg/Nm3 NOx, 80MN, LowBTU</t>
    </r>
  </si>
  <si>
    <r>
      <t xml:space="preserve">QSV91-G2, 1750kW, 60Hz, 1514rpm &amp; GearBox, 16bar, 11.4CR, 50C LT
     </t>
    </r>
    <r>
      <rPr>
        <u/>
        <sz val="10"/>
        <rFont val="Arial"/>
        <family val="2"/>
      </rPr>
      <t>TH7047</t>
    </r>
    <r>
      <rPr>
        <sz val="10"/>
        <rFont val="Arial"/>
        <family val="2"/>
      </rPr>
      <t xml:space="preserve"> 103C HT, 500mg/Nm3 NOx, 70MN, LowBTU</t>
    </r>
  </si>
  <si>
    <r>
      <t xml:space="preserve">QSV91-G2, 1750kW, 50Hz, 1500rpm, 16bar, 11.4CR, 50C LT
     </t>
    </r>
    <r>
      <rPr>
        <u/>
        <sz val="10"/>
        <rFont val="Arial"/>
        <family val="2"/>
      </rPr>
      <t>TH7047</t>
    </r>
    <r>
      <rPr>
        <sz val="10"/>
        <rFont val="Arial"/>
        <family val="2"/>
      </rPr>
      <t xml:space="preserve"> 103C HT, 500mg/Nm3 NOx, 70MN, LowBTU</t>
    </r>
  </si>
  <si>
    <r>
      <t xml:space="preserve">QSV91-G, 1540kW, 50Hz, 1500rpm, 14bar, 11.4CR, 50C LT
     </t>
    </r>
    <r>
      <rPr>
        <u/>
        <sz val="10"/>
        <rFont val="Arial"/>
        <family val="2"/>
      </rPr>
      <t>TH7043</t>
    </r>
    <r>
      <rPr>
        <sz val="10"/>
        <rFont val="Arial"/>
        <family val="2"/>
      </rPr>
      <t xml:space="preserve"> 95C HT, 500mg/Nm3 NOx, 60MN
     </t>
    </r>
    <r>
      <rPr>
        <u/>
        <sz val="10"/>
        <rFont val="Arial"/>
        <family val="2"/>
      </rPr>
      <t>TH7043</t>
    </r>
    <r>
      <rPr>
        <sz val="10"/>
        <rFont val="Arial"/>
        <family val="2"/>
      </rPr>
      <t xml:space="preserve"> 95C HT, 1.2g/Nm3 NOx, 60MN
     </t>
    </r>
    <r>
      <rPr>
        <u/>
        <sz val="10"/>
        <rFont val="Arial"/>
        <family val="2"/>
      </rPr>
      <t>TH7047</t>
    </r>
    <r>
      <rPr>
        <sz val="10"/>
        <rFont val="Arial"/>
        <family val="2"/>
      </rPr>
      <t xml:space="preserve"> 110C HT, 500mg/Nm3 NOx, 63MN
     </t>
    </r>
    <r>
      <rPr>
        <u/>
        <sz val="10"/>
        <rFont val="Arial"/>
        <family val="2"/>
      </rPr>
      <t>TH7047</t>
    </r>
    <r>
      <rPr>
        <sz val="10"/>
        <rFont val="Arial"/>
        <family val="2"/>
      </rPr>
      <t xml:space="preserve"> 110C HT, 1.2g/Nm3 NOx, 63MN</t>
    </r>
  </si>
  <si>
    <r>
      <t xml:space="preserve">QSV91-G, 1540kW, 50Hz, 1500rpm, 14bar, 12CR, 50C LT
     </t>
    </r>
    <r>
      <rPr>
        <u/>
        <sz val="10"/>
        <rFont val="Arial"/>
        <family val="2"/>
      </rPr>
      <t>TH7043</t>
    </r>
    <r>
      <rPr>
        <sz val="10"/>
        <rFont val="Arial"/>
        <family val="2"/>
      </rPr>
      <t xml:space="preserve"> 95C HT, 350mg/Nm3 NOx, 70MN
     </t>
    </r>
    <r>
      <rPr>
        <u/>
        <sz val="10"/>
        <rFont val="Arial"/>
        <family val="2"/>
      </rPr>
      <t>TH7043</t>
    </r>
    <r>
      <rPr>
        <sz val="10"/>
        <rFont val="Arial"/>
        <family val="2"/>
      </rPr>
      <t xml:space="preserve"> 95C HT, .84g/Nm3 NOx, 70MN
     </t>
    </r>
    <r>
      <rPr>
        <u/>
        <sz val="10"/>
        <rFont val="Arial"/>
        <family val="2"/>
      </rPr>
      <t>TH7047</t>
    </r>
    <r>
      <rPr>
        <sz val="10"/>
        <rFont val="Arial"/>
        <family val="2"/>
      </rPr>
      <t xml:space="preserve"> 110C HT, 350mg/Nm3 NOx, 73MN
     </t>
    </r>
    <r>
      <rPr>
        <u/>
        <sz val="10"/>
        <rFont val="Arial"/>
        <family val="2"/>
      </rPr>
      <t>TH7047</t>
    </r>
    <r>
      <rPr>
        <sz val="10"/>
        <rFont val="Arial"/>
        <family val="2"/>
      </rPr>
      <t xml:space="preserve"> 110C HT, .84g/Nm3 NOx, 73MN</t>
    </r>
  </si>
  <si>
    <r>
      <t xml:space="preserve">QSV91-G, 1540kW, 50Hz, 1500rpm, 14bar, 10.5CR, 50C LT
     </t>
    </r>
    <r>
      <rPr>
        <u/>
        <sz val="10"/>
        <rFont val="Arial"/>
        <family val="2"/>
      </rPr>
      <t>TH7043</t>
    </r>
    <r>
      <rPr>
        <sz val="10"/>
        <rFont val="Arial"/>
        <family val="2"/>
      </rPr>
      <t xml:space="preserve"> 95C HT, 500mg/Nm3 NOx, 52MN
     </t>
    </r>
    <r>
      <rPr>
        <u/>
        <sz val="10"/>
        <rFont val="Arial"/>
        <family val="2"/>
      </rPr>
      <t>TH7043</t>
    </r>
    <r>
      <rPr>
        <sz val="10"/>
        <rFont val="Arial"/>
        <family val="2"/>
      </rPr>
      <t xml:space="preserve"> 95C HT, 1.2g/Nm3 NOx, 52MN</t>
    </r>
  </si>
  <si>
    <r>
      <t xml:space="preserve">QSV91-G, 1540kW, 50Hz, 1500rpm, 14bar, 11.4CR, 50C LT
     </t>
    </r>
    <r>
      <rPr>
        <u/>
        <sz val="10"/>
        <rFont val="Arial"/>
        <family val="2"/>
      </rPr>
      <t>TH7043</t>
    </r>
    <r>
      <rPr>
        <sz val="10"/>
        <rFont val="Arial"/>
        <family val="2"/>
      </rPr>
      <t xml:space="preserve"> 95C HT, 350mg/Nm3 NOx, 59MN
    </t>
    </r>
    <r>
      <rPr>
        <u/>
        <sz val="10"/>
        <rFont val="Arial"/>
        <family val="2"/>
      </rPr>
      <t xml:space="preserve"> TH7043</t>
    </r>
    <r>
      <rPr>
        <sz val="10"/>
        <rFont val="Arial"/>
        <family val="2"/>
      </rPr>
      <t xml:space="preserve"> 95C HT, .84g/Nm3 NOx, 59MN
     </t>
    </r>
    <r>
      <rPr>
        <u/>
        <sz val="10"/>
        <rFont val="Arial"/>
        <family val="2"/>
      </rPr>
      <t>TH7047</t>
    </r>
    <r>
      <rPr>
        <sz val="10"/>
        <rFont val="Arial"/>
        <family val="2"/>
      </rPr>
      <t xml:space="preserve"> 110C HT, 350mg/Nm3 NOx, 60MN
     </t>
    </r>
    <r>
      <rPr>
        <u/>
        <sz val="10"/>
        <rFont val="Arial"/>
        <family val="2"/>
      </rPr>
      <t>TH7047</t>
    </r>
    <r>
      <rPr>
        <sz val="10"/>
        <rFont val="Arial"/>
        <family val="2"/>
      </rPr>
      <t xml:space="preserve"> 110C HT, .84g/Nm3 NOx, 60MN</t>
    </r>
  </si>
  <si>
    <r>
      <t xml:space="preserve">QSV91-G, 1540kW, 50Hz, 1500rpm, 14bar, 12CR, 50C LT
     </t>
    </r>
    <r>
      <rPr>
        <u/>
        <sz val="10"/>
        <rFont val="Arial"/>
        <family val="2"/>
      </rPr>
      <t>TH7043</t>
    </r>
    <r>
      <rPr>
        <sz val="10"/>
        <rFont val="Arial"/>
        <family val="2"/>
      </rPr>
      <t xml:space="preserve"> 95C HT, 500mg/Nm3 NOx, 70MN
     </t>
    </r>
    <r>
      <rPr>
        <u/>
        <sz val="10"/>
        <rFont val="Arial"/>
        <family val="2"/>
      </rPr>
      <t>TH7043</t>
    </r>
    <r>
      <rPr>
        <sz val="10"/>
        <rFont val="Arial"/>
        <family val="2"/>
      </rPr>
      <t xml:space="preserve"> 95C HT, 1.2g/Nm3 NOx, 70MN
     </t>
    </r>
    <r>
      <rPr>
        <u/>
        <sz val="10"/>
        <rFont val="Arial"/>
        <family val="2"/>
      </rPr>
      <t>TH7047</t>
    </r>
    <r>
      <rPr>
        <sz val="10"/>
        <rFont val="Arial"/>
        <family val="2"/>
      </rPr>
      <t xml:space="preserve"> 110C HT, 500mg/Nm3 NOx, 73MN
     </t>
    </r>
    <r>
      <rPr>
        <u/>
        <sz val="10"/>
        <rFont val="Arial"/>
        <family val="2"/>
      </rPr>
      <t>TH7047</t>
    </r>
    <r>
      <rPr>
        <sz val="10"/>
        <rFont val="Arial"/>
        <family val="2"/>
      </rPr>
      <t xml:space="preserve"> 110C HT, 1.2g/Nm3 NOx, 73MN</t>
    </r>
  </si>
  <si>
    <r>
      <t xml:space="preserve">QSV91-G, 1750kW, 50Hz, 1500rpm, 16bar, 11.4CR, 50C LT
     </t>
    </r>
    <r>
      <rPr>
        <u/>
        <sz val="10"/>
        <rFont val="Arial"/>
        <family val="2"/>
      </rPr>
      <t>TH7043</t>
    </r>
    <r>
      <rPr>
        <sz val="10"/>
        <rFont val="Arial"/>
        <family val="2"/>
      </rPr>
      <t xml:space="preserve"> 95C HT, 500mg/Nm3 NOx, 67MN
     </t>
    </r>
    <r>
      <rPr>
        <u/>
        <sz val="10"/>
        <rFont val="Arial"/>
        <family val="2"/>
      </rPr>
      <t>TH7043</t>
    </r>
    <r>
      <rPr>
        <sz val="10"/>
        <rFont val="Arial"/>
        <family val="2"/>
      </rPr>
      <t xml:space="preserve"> 95C HT, 1.2g/Nm3 NOx, 67MN</t>
    </r>
  </si>
  <si>
    <r>
      <t xml:space="preserve">QSV91-G, 1750kW, 50Hz, 1500rpm, 16bar, 12CR, 50C LT
     </t>
    </r>
    <r>
      <rPr>
        <u/>
        <sz val="10"/>
        <rFont val="Arial"/>
        <family val="2"/>
      </rPr>
      <t>TH7043</t>
    </r>
    <r>
      <rPr>
        <sz val="10"/>
        <rFont val="Arial"/>
        <family val="2"/>
      </rPr>
      <t xml:space="preserve"> 95C HT, 500mg/Nm3 NOx, 77MN
     </t>
    </r>
    <r>
      <rPr>
        <u/>
        <sz val="10"/>
        <rFont val="Arial"/>
        <family val="2"/>
      </rPr>
      <t>TH7043</t>
    </r>
    <r>
      <rPr>
        <sz val="10"/>
        <rFont val="Arial"/>
        <family val="2"/>
      </rPr>
      <t xml:space="preserve"> 95C HT, 1.2g/Nm3 NOx, 77MN
     </t>
    </r>
    <r>
      <rPr>
        <u/>
        <sz val="10"/>
        <rFont val="Arial"/>
        <family val="2"/>
      </rPr>
      <t>TH7043</t>
    </r>
    <r>
      <rPr>
        <sz val="10"/>
        <rFont val="Arial"/>
        <family val="2"/>
      </rPr>
      <t xml:space="preserve"> 110C HT, 500mg/Nm3 NOx, 80MN
     </t>
    </r>
    <r>
      <rPr>
        <u/>
        <sz val="10"/>
        <rFont val="Arial"/>
        <family val="2"/>
      </rPr>
      <t>TH7043</t>
    </r>
    <r>
      <rPr>
        <sz val="10"/>
        <rFont val="Arial"/>
        <family val="2"/>
      </rPr>
      <t xml:space="preserve"> 110C HT, 1.2g/Nm3 NOx, 80MN</t>
    </r>
  </si>
  <si>
    <t xml:space="preserve"> P70071.01</t>
  </si>
  <si>
    <t>AI70080.01</t>
  </si>
  <si>
    <t>002</t>
  </si>
  <si>
    <t>Updated QSP and AAB software version numbers, QSV91ph1 Rating Info</t>
  </si>
  <si>
    <t>003</t>
  </si>
  <si>
    <t>Updated FRs 4490, 4491, 4492 and 4493 to Service Only</t>
  </si>
  <si>
    <t>PCC 2300, Multiplexed</t>
  </si>
  <si>
    <t>Updated FR/DOs 10792/1846, 10908/1848, 10909/1847 and 10910/1849 to Multiplexed, not Hardwired</t>
  </si>
  <si>
    <t>PCC3100</t>
  </si>
  <si>
    <t>Updated Genset Controls</t>
  </si>
  <si>
    <t xml:space="preserve"> P70084.00</t>
  </si>
  <si>
    <t>SC61212</t>
  </si>
  <si>
    <t>DO60373</t>
  </si>
  <si>
    <t>FR60007</t>
  </si>
  <si>
    <t xml:space="preserve"> P10197.02</t>
  </si>
  <si>
    <t>AI70106.00</t>
  </si>
  <si>
    <t>AI70107.00</t>
  </si>
  <si>
    <t>AI70108.00</t>
  </si>
  <si>
    <t>AI70109.00</t>
  </si>
  <si>
    <t>D25</t>
  </si>
  <si>
    <t xml:space="preserve"> Q10087.01</t>
  </si>
  <si>
    <t>SC12227</t>
  </si>
  <si>
    <t>DO01914</t>
  </si>
  <si>
    <t>FR11146</t>
  </si>
  <si>
    <t>PJ60331 PJ60332</t>
  </si>
  <si>
    <t>Low BTU</t>
  </si>
  <si>
    <t>GTA855E, SAE1 Flywheel, 213BHP@1200rpm, 0.5g(bhp-hr) NOX</t>
  </si>
  <si>
    <t>PJ60333 PJ60334</t>
  </si>
  <si>
    <t>QSK60 HiEff, 1000kWe, 60Hz, 1200rpm, 12.7CR, 90C HT, 50C LT, 20deg
     0.5g/Hp-hr NOx, 72MN
* Production test cal only - Use service only calibration for on site low BTU fuel</t>
  </si>
  <si>
    <t>QSK60 HiEff, 1000kWe, 60Hz, 1200rpm, 12.7CR, 90C HT, 50C LT, 20deg
     0.5g/Hp-hr NOx, 72MN
* Service only cal to be used with 62.5% methane low btu fuel (Non methane feedforward)</t>
  </si>
  <si>
    <t>Added new FRs 60007, 1114</t>
  </si>
</sst>
</file>

<file path=xl/styles.xml><?xml version="1.0" encoding="utf-8"?>
<styleSheet xmlns="http://schemas.openxmlformats.org/spreadsheetml/2006/main">
  <fonts count="5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sz val="8"/>
      <name val="Arial"/>
      <family val="2"/>
    </font>
    <font>
      <u/>
      <sz val="10"/>
      <name val="Arial"/>
      <family val="2"/>
    </font>
    <font>
      <strike/>
      <sz val="10"/>
      <name val="Arial"/>
      <family val="2"/>
    </font>
    <font>
      <b/>
      <sz val="16"/>
      <name val="Arial"/>
      <family val="2"/>
    </font>
    <font>
      <sz val="9"/>
      <color indexed="81"/>
      <name val="Tahoma"/>
      <family val="2"/>
    </font>
    <font>
      <b/>
      <sz val="9"/>
      <color indexed="81"/>
      <name val="Tahoma"/>
      <family val="2"/>
    </font>
    <font>
      <sz val="11"/>
      <color theme="1"/>
      <name val="Calibri"/>
      <family val="2"/>
      <scheme val="minor"/>
    </font>
    <font>
      <sz val="11"/>
      <color rgb="FFFF0000"/>
      <name val="Calibri"/>
      <family val="2"/>
      <scheme val="minor"/>
    </font>
    <font>
      <sz val="8"/>
      <color theme="1"/>
      <name val="Arial"/>
      <family val="2"/>
    </font>
    <font>
      <sz val="11"/>
      <name val="Calibri"/>
      <family val="2"/>
      <scheme val="minor"/>
    </font>
    <font>
      <sz val="10"/>
      <color rgb="FF0070C0"/>
      <name val="Arial"/>
      <family val="2"/>
    </font>
    <font>
      <sz val="10"/>
      <color rgb="FFFF0000"/>
      <name val="Arial"/>
      <family val="2"/>
    </font>
    <font>
      <sz val="10"/>
      <color rgb="FF002060"/>
      <name val="Arial"/>
      <family val="2"/>
    </font>
    <font>
      <sz val="10"/>
      <color theme="1"/>
      <name val="Arial"/>
      <family val="2"/>
    </font>
    <font>
      <u/>
      <sz val="11"/>
      <color theme="1"/>
      <name val="Calibri"/>
      <family val="2"/>
      <scheme val="minor"/>
    </font>
    <font>
      <b/>
      <sz val="10"/>
      <color theme="0" tint="-0.499984740745262"/>
      <name val="Arial"/>
      <family val="2"/>
    </font>
    <font>
      <b/>
      <sz val="10"/>
      <color rgb="FF00B05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theme="10"/>
      <name val="Arial"/>
      <family val="2"/>
    </font>
  </fonts>
  <fills count="63">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45"/>
        <bgColor indexed="64"/>
      </patternFill>
    </fill>
    <fill>
      <patternFill patternType="solid">
        <fgColor indexed="22"/>
        <bgColor indexed="64"/>
      </patternFill>
    </fill>
    <fill>
      <patternFill patternType="solid">
        <fgColor rgb="FFFFFF00"/>
        <bgColor indexed="64"/>
      </patternFill>
    </fill>
    <fill>
      <patternFill patternType="solid">
        <fgColor rgb="FF00B05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99CCFF"/>
        <bgColor indexed="64"/>
      </patternFill>
    </fill>
    <fill>
      <patternFill patternType="solid">
        <fgColor theme="6" tint="0.79998168889431442"/>
        <bgColor indexed="64"/>
      </patternFill>
    </fill>
    <fill>
      <patternFill patternType="solid">
        <fgColor rgb="FFFFFF99"/>
        <bgColor indexed="64"/>
      </patternFill>
    </fill>
    <fill>
      <patternFill patternType="solid">
        <fgColor rgb="FFCCFFCC"/>
        <bgColor indexed="64"/>
      </patternFill>
    </fill>
    <fill>
      <patternFill patternType="solid">
        <fgColor rgb="FFFFCC99"/>
        <bgColor indexed="64"/>
      </patternFill>
    </fill>
    <fill>
      <patternFill patternType="solid">
        <fgColor rgb="FFFF99CC"/>
        <bgColor indexed="64"/>
      </patternFill>
    </fill>
    <fill>
      <patternFill patternType="solid">
        <fgColor rgb="FFFFC000"/>
        <bgColor indexed="64"/>
      </patternFill>
    </fill>
    <fill>
      <patternFill patternType="solid">
        <fgColor rgb="FF00CC99"/>
        <bgColor indexed="64"/>
      </patternFill>
    </fill>
    <fill>
      <patternFill patternType="solid">
        <fgColor rgb="FFCCFF66"/>
        <bgColor indexed="64"/>
      </patternFill>
    </fill>
    <fill>
      <patternFill patternType="solid">
        <fgColor rgb="FFCC9900"/>
        <bgColor indexed="64"/>
      </patternFill>
    </fill>
    <fill>
      <patternFill patternType="solid">
        <fgColor rgb="FF9966FF"/>
        <bgColor indexed="64"/>
      </patternFill>
    </fill>
    <fill>
      <patternFill patternType="solid">
        <fgColor rgb="FFCC3300"/>
        <bgColor indexed="64"/>
      </patternFill>
    </fill>
    <fill>
      <patternFill patternType="solid">
        <fgColor rgb="FFFFCC66"/>
        <bgColor indexed="64"/>
      </patternFill>
    </fill>
    <fill>
      <patternFill patternType="solid">
        <fgColor rgb="FFCCFFFF"/>
        <bgColor indexed="64"/>
      </patternFill>
    </fill>
    <fill>
      <patternFill patternType="solid">
        <fgColor rgb="FFFF33CC"/>
        <bgColor indexed="64"/>
      </patternFill>
    </fill>
    <fill>
      <patternFill patternType="solid">
        <fgColor theme="9" tint="0.79998168889431442"/>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9966"/>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64"/>
      </left>
      <right/>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74">
    <xf numFmtId="0" fontId="0" fillId="0" borderId="0"/>
    <xf numFmtId="0" fontId="27" fillId="0" borderId="0"/>
    <xf numFmtId="0" fontId="38" fillId="0" borderId="0" applyNumberFormat="0" applyFill="0" applyBorder="0" applyAlignment="0" applyProtection="0"/>
    <xf numFmtId="0" fontId="39" fillId="0" borderId="14" applyNumberFormat="0" applyFill="0" applyAlignment="0" applyProtection="0"/>
    <xf numFmtId="0" fontId="40" fillId="0" borderId="15" applyNumberFormat="0" applyFill="0" applyAlignment="0" applyProtection="0"/>
    <xf numFmtId="0" fontId="41" fillId="0" borderId="16" applyNumberFormat="0" applyFill="0" applyAlignment="0" applyProtection="0"/>
    <xf numFmtId="0" fontId="41" fillId="0" borderId="0" applyNumberFormat="0" applyFill="0" applyBorder="0" applyAlignment="0" applyProtection="0"/>
    <xf numFmtId="0" fontId="42" fillId="31" borderId="0" applyNumberFormat="0" applyBorder="0" applyAlignment="0" applyProtection="0"/>
    <xf numFmtId="0" fontId="43" fillId="32" borderId="0" applyNumberFormat="0" applyBorder="0" applyAlignment="0" applyProtection="0"/>
    <xf numFmtId="0" fontId="44" fillId="33" borderId="0" applyNumberFormat="0" applyBorder="0" applyAlignment="0" applyProtection="0"/>
    <xf numFmtId="0" fontId="45" fillId="34" borderId="17" applyNumberFormat="0" applyAlignment="0" applyProtection="0"/>
    <xf numFmtId="0" fontId="46" fillId="35" borderId="18" applyNumberFormat="0" applyAlignment="0" applyProtection="0"/>
    <xf numFmtId="0" fontId="47" fillId="35" borderId="17" applyNumberFormat="0" applyAlignment="0" applyProtection="0"/>
    <xf numFmtId="0" fontId="48" fillId="0" borderId="19" applyNumberFormat="0" applyFill="0" applyAlignment="0" applyProtection="0"/>
    <xf numFmtId="0" fontId="49" fillId="36" borderId="20" applyNumberFormat="0" applyAlignment="0" applyProtection="0"/>
    <xf numFmtId="0" fontId="28" fillId="0" borderId="0" applyNumberFormat="0" applyFill="0" applyBorder="0" applyAlignment="0" applyProtection="0"/>
    <xf numFmtId="0" fontId="50" fillId="0" borderId="0" applyNumberFormat="0" applyFill="0" applyBorder="0" applyAlignment="0" applyProtection="0"/>
    <xf numFmtId="0" fontId="51" fillId="0" borderId="22" applyNumberFormat="0" applyFill="0" applyAlignment="0" applyProtection="0"/>
    <xf numFmtId="0" fontId="52" fillId="38" borderId="0" applyNumberFormat="0" applyBorder="0" applyAlignment="0" applyProtection="0"/>
    <xf numFmtId="0" fontId="15" fillId="39" borderId="0" applyNumberFormat="0" applyBorder="0" applyAlignment="0" applyProtection="0"/>
    <xf numFmtId="0" fontId="15" fillId="40" borderId="0" applyNumberFormat="0" applyBorder="0" applyAlignment="0" applyProtection="0"/>
    <xf numFmtId="0" fontId="52" fillId="41" borderId="0" applyNumberFormat="0" applyBorder="0" applyAlignment="0" applyProtection="0"/>
    <xf numFmtId="0" fontId="52" fillId="42" borderId="0" applyNumberFormat="0" applyBorder="0" applyAlignment="0" applyProtection="0"/>
    <xf numFmtId="0" fontId="15" fillId="43" borderId="0" applyNumberFormat="0" applyBorder="0" applyAlignment="0" applyProtection="0"/>
    <xf numFmtId="0" fontId="15" fillId="44" borderId="0" applyNumberFormat="0" applyBorder="0" applyAlignment="0" applyProtection="0"/>
    <xf numFmtId="0" fontId="52" fillId="45" borderId="0" applyNumberFormat="0" applyBorder="0" applyAlignment="0" applyProtection="0"/>
    <xf numFmtId="0" fontId="52" fillId="46"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52" fillId="49" borderId="0" applyNumberFormat="0" applyBorder="0" applyAlignment="0" applyProtection="0"/>
    <xf numFmtId="0" fontId="52" fillId="50" borderId="0" applyNumberFormat="0" applyBorder="0" applyAlignment="0" applyProtection="0"/>
    <xf numFmtId="0" fontId="15" fillId="51" borderId="0" applyNumberFormat="0" applyBorder="0" applyAlignment="0" applyProtection="0"/>
    <xf numFmtId="0" fontId="15" fillId="52" borderId="0" applyNumberFormat="0" applyBorder="0" applyAlignment="0" applyProtection="0"/>
    <xf numFmtId="0" fontId="52" fillId="53" borderId="0" applyNumberFormat="0" applyBorder="0" applyAlignment="0" applyProtection="0"/>
    <xf numFmtId="0" fontId="52" fillId="54" borderId="0" applyNumberFormat="0" applyBorder="0" applyAlignment="0" applyProtection="0"/>
    <xf numFmtId="0" fontId="15" fillId="55" borderId="0" applyNumberFormat="0" applyBorder="0" applyAlignment="0" applyProtection="0"/>
    <xf numFmtId="0" fontId="15" fillId="56" borderId="0" applyNumberFormat="0" applyBorder="0" applyAlignment="0" applyProtection="0"/>
    <xf numFmtId="0" fontId="52" fillId="57" borderId="0" applyNumberFormat="0" applyBorder="0" applyAlignment="0" applyProtection="0"/>
    <xf numFmtId="0" fontId="52" fillId="58" borderId="0" applyNumberFormat="0" applyBorder="0" applyAlignment="0" applyProtection="0"/>
    <xf numFmtId="0" fontId="15" fillId="59" borderId="0" applyNumberFormat="0" applyBorder="0" applyAlignment="0" applyProtection="0"/>
    <xf numFmtId="0" fontId="15" fillId="60" borderId="0" applyNumberFormat="0" applyBorder="0" applyAlignment="0" applyProtection="0"/>
    <xf numFmtId="0" fontId="52" fillId="61" borderId="0" applyNumberFormat="0" applyBorder="0" applyAlignment="0" applyProtection="0"/>
    <xf numFmtId="0" fontId="15" fillId="0" borderId="0"/>
    <xf numFmtId="0" fontId="15" fillId="37" borderId="21" applyNumberFormat="0" applyFont="0" applyAlignment="0" applyProtection="0"/>
    <xf numFmtId="0" fontId="19" fillId="0" borderId="0"/>
    <xf numFmtId="0" fontId="15" fillId="0" borderId="0"/>
    <xf numFmtId="0" fontId="14" fillId="0" borderId="0"/>
    <xf numFmtId="0" fontId="19" fillId="0" borderId="0"/>
    <xf numFmtId="0" fontId="19" fillId="0" borderId="0"/>
    <xf numFmtId="0" fontId="13" fillId="0" borderId="0"/>
    <xf numFmtId="0" fontId="12" fillId="0" borderId="0"/>
    <xf numFmtId="0" fontId="10" fillId="0" borderId="0"/>
    <xf numFmtId="0" fontId="10" fillId="37" borderId="21" applyNumberFormat="0" applyFont="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59" borderId="0" applyNumberFormat="0" applyBorder="0" applyAlignment="0" applyProtection="0"/>
    <xf numFmtId="0" fontId="10" fillId="60" borderId="0" applyNumberFormat="0" applyBorder="0" applyAlignment="0" applyProtection="0"/>
    <xf numFmtId="0" fontId="53" fillId="0" borderId="0" applyNumberFormat="0" applyFill="0" applyBorder="0" applyAlignment="0" applyProtection="0">
      <alignment vertical="top"/>
      <protection locked="0"/>
    </xf>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1" fillId="0" borderId="0"/>
  </cellStyleXfs>
  <cellXfs count="372">
    <xf numFmtId="0" fontId="0" fillId="0" borderId="0" xfId="0"/>
    <xf numFmtId="0" fontId="0" fillId="0" borderId="0" xfId="0" applyAlignment="1">
      <alignment horizontal="center" vertical="center"/>
    </xf>
    <xf numFmtId="0" fontId="0" fillId="0" borderId="0" xfId="0" applyFill="1" applyAlignment="1">
      <alignment horizontal="center" vertical="center"/>
    </xf>
    <xf numFmtId="0" fontId="0" fillId="3" borderId="1" xfId="0" applyFill="1" applyBorder="1" applyAlignment="1">
      <alignment horizontal="center" vertical="center"/>
    </xf>
    <xf numFmtId="0" fontId="0" fillId="3" borderId="1" xfId="0" applyFill="1" applyBorder="1" applyAlignment="1">
      <alignment horizontal="center" vertical="center" wrapText="1"/>
    </xf>
    <xf numFmtId="0" fontId="0" fillId="5" borderId="1" xfId="0" applyFill="1" applyBorder="1" applyAlignment="1">
      <alignment horizontal="center" vertical="center" wrapText="1"/>
    </xf>
    <xf numFmtId="0" fontId="0" fillId="6" borderId="1" xfId="0" applyFill="1" applyBorder="1" applyAlignment="1">
      <alignment horizontal="center" vertical="center"/>
    </xf>
    <xf numFmtId="0" fontId="0" fillId="5" borderId="1" xfId="0" applyFill="1" applyBorder="1" applyAlignment="1">
      <alignment horizontal="center" vertical="center"/>
    </xf>
    <xf numFmtId="0" fontId="0" fillId="3" borderId="1" xfId="0" applyFill="1" applyBorder="1" applyAlignment="1">
      <alignment vertical="center" wrapText="1"/>
    </xf>
    <xf numFmtId="0" fontId="20" fillId="7" borderId="1" xfId="0" applyFont="1" applyFill="1" applyBorder="1" applyAlignment="1">
      <alignment vertical="center" wrapText="1"/>
    </xf>
    <xf numFmtId="0" fontId="0" fillId="0" borderId="0" xfId="0" applyAlignment="1">
      <alignment vertical="center" wrapText="1"/>
    </xf>
    <xf numFmtId="0" fontId="0" fillId="6" borderId="1" xfId="0" applyFill="1" applyBorder="1" applyAlignment="1">
      <alignment horizontal="center" vertical="center" wrapText="1"/>
    </xf>
    <xf numFmtId="0" fontId="20" fillId="7" borderId="1" xfId="0" applyFont="1" applyFill="1" applyBorder="1" applyAlignment="1">
      <alignment horizontal="center" vertical="center" wrapText="1"/>
    </xf>
    <xf numFmtId="0" fontId="0" fillId="0" borderId="0" xfId="0" applyAlignment="1">
      <alignment horizontal="center" vertical="center" wrapText="1"/>
    </xf>
    <xf numFmtId="0" fontId="20" fillId="0" borderId="0" xfId="0" applyFont="1" applyAlignment="1">
      <alignment horizontal="center" vertical="center" wrapText="1"/>
    </xf>
    <xf numFmtId="0" fontId="19" fillId="5" borderId="1" xfId="0" applyFont="1" applyFill="1" applyBorder="1" applyAlignment="1">
      <alignment horizontal="left" vertical="center" wrapText="1"/>
    </xf>
    <xf numFmtId="0" fontId="19" fillId="6" borderId="1" xfId="0" applyFont="1" applyFill="1" applyBorder="1" applyAlignment="1">
      <alignment horizontal="center" vertical="center" wrapText="1"/>
    </xf>
    <xf numFmtId="0" fontId="19" fillId="6" borderId="1" xfId="0" applyFont="1" applyFill="1" applyBorder="1" applyAlignment="1">
      <alignment horizontal="center" vertical="center"/>
    </xf>
    <xf numFmtId="0" fontId="0" fillId="6" borderId="1" xfId="0" applyFill="1" applyBorder="1" applyAlignment="1" applyProtection="1">
      <alignment horizontal="center" vertical="center"/>
      <protection locked="0"/>
    </xf>
    <xf numFmtId="0" fontId="19" fillId="6" borderId="1" xfId="0" applyFont="1" applyFill="1" applyBorder="1" applyAlignment="1" applyProtection="1">
      <alignment horizontal="center" vertical="center"/>
      <protection locked="0"/>
    </xf>
    <xf numFmtId="0" fontId="0" fillId="0" borderId="0" xfId="0" applyAlignment="1">
      <alignment horizontal="left" vertical="center" wrapText="1"/>
    </xf>
    <xf numFmtId="0" fontId="19" fillId="3" borderId="1" xfId="0" applyFont="1" applyFill="1" applyBorder="1" applyAlignment="1">
      <alignment horizontal="center" vertical="center" wrapText="1"/>
    </xf>
    <xf numFmtId="0" fontId="19" fillId="3" borderId="1" xfId="0" applyFont="1" applyFill="1" applyBorder="1" applyAlignment="1">
      <alignment horizontal="center" vertical="center"/>
    </xf>
    <xf numFmtId="0" fontId="19" fillId="5" borderId="1" xfId="0" applyFont="1" applyFill="1" applyBorder="1" applyAlignment="1">
      <alignment horizontal="center" vertical="center" wrapText="1"/>
    </xf>
    <xf numFmtId="0" fontId="19" fillId="9" borderId="1" xfId="0" applyFont="1" applyFill="1" applyBorder="1" applyAlignment="1">
      <alignment vertical="center" wrapText="1"/>
    </xf>
    <xf numFmtId="0" fontId="0" fillId="0" borderId="0" xfId="0" applyBorder="1"/>
    <xf numFmtId="0" fontId="0" fillId="0" borderId="0" xfId="0" applyBorder="1" applyAlignment="1">
      <alignment horizontal="center"/>
    </xf>
    <xf numFmtId="0" fontId="0" fillId="0" borderId="0" xfId="0" applyBorder="1" applyAlignment="1">
      <alignment horizontal="left"/>
    </xf>
    <xf numFmtId="0" fontId="19" fillId="0" borderId="1" xfId="0" applyFont="1" applyBorder="1" applyAlignment="1">
      <alignment horizontal="left"/>
    </xf>
    <xf numFmtId="0" fontId="19" fillId="0" borderId="1" xfId="0" applyFont="1" applyBorder="1" applyAlignment="1" applyProtection="1">
      <alignment horizontal="center"/>
      <protection locked="0"/>
    </xf>
    <xf numFmtId="0" fontId="19" fillId="0" borderId="1" xfId="0" applyFont="1" applyBorder="1"/>
    <xf numFmtId="0" fontId="19" fillId="10" borderId="1" xfId="0" applyFont="1" applyFill="1" applyBorder="1" applyAlignment="1" applyProtection="1">
      <alignment horizontal="center"/>
      <protection locked="0"/>
    </xf>
    <xf numFmtId="0" fontId="20" fillId="0" borderId="1" xfId="0" applyFont="1" applyBorder="1" applyAlignment="1">
      <alignment horizontal="center"/>
    </xf>
    <xf numFmtId="0" fontId="20" fillId="0" borderId="1" xfId="0" applyFont="1" applyBorder="1" applyAlignment="1">
      <alignment horizontal="left"/>
    </xf>
    <xf numFmtId="0" fontId="20" fillId="0" borderId="1" xfId="0" applyFont="1" applyBorder="1"/>
    <xf numFmtId="0" fontId="19" fillId="9" borderId="1" xfId="0" applyFont="1" applyFill="1" applyBorder="1" applyAlignment="1">
      <alignment horizontal="center" vertical="center"/>
    </xf>
    <xf numFmtId="0" fontId="19" fillId="9" borderId="1" xfId="0" applyFont="1" applyFill="1" applyBorder="1" applyAlignment="1">
      <alignment horizontal="left" vertical="center" wrapText="1"/>
    </xf>
    <xf numFmtId="0" fontId="20" fillId="11" borderId="1" xfId="0" applyFont="1" applyFill="1" applyBorder="1" applyAlignment="1">
      <alignment horizontal="center" vertical="center" wrapText="1"/>
    </xf>
    <xf numFmtId="0" fontId="20" fillId="12" borderId="1" xfId="0" applyFont="1" applyFill="1" applyBorder="1" applyAlignment="1">
      <alignment horizontal="center" vertical="center" wrapText="1"/>
    </xf>
    <xf numFmtId="0" fontId="20" fillId="13" borderId="1" xfId="0" applyFont="1" applyFill="1" applyBorder="1" applyAlignment="1">
      <alignment horizontal="center" vertical="center" wrapText="1"/>
    </xf>
    <xf numFmtId="0" fontId="19" fillId="9" borderId="1" xfId="0" applyFont="1" applyFill="1" applyBorder="1" applyAlignment="1">
      <alignment horizontal="center" vertical="center" wrapText="1"/>
    </xf>
    <xf numFmtId="0" fontId="0" fillId="14" borderId="1" xfId="0" applyFill="1" applyBorder="1" applyAlignment="1">
      <alignment horizontal="center" vertical="center" wrapText="1"/>
    </xf>
    <xf numFmtId="0" fontId="0" fillId="15" borderId="1" xfId="0" applyFill="1" applyBorder="1" applyAlignment="1">
      <alignment horizontal="center" vertical="center"/>
    </xf>
    <xf numFmtId="0" fontId="19" fillId="15" borderId="1" xfId="0" applyFont="1" applyFill="1" applyBorder="1" applyAlignment="1">
      <alignment horizontal="center" vertical="center"/>
    </xf>
    <xf numFmtId="0" fontId="0" fillId="15" borderId="1" xfId="0" applyFill="1" applyBorder="1" applyAlignment="1">
      <alignment horizontal="left" vertical="center" wrapText="1"/>
    </xf>
    <xf numFmtId="0" fontId="0" fillId="16" borderId="1" xfId="0" applyFill="1" applyBorder="1" applyAlignment="1">
      <alignment horizontal="center" vertical="center" wrapText="1"/>
    </xf>
    <xf numFmtId="0" fontId="19" fillId="16" borderId="1" xfId="0" applyFont="1" applyFill="1" applyBorder="1" applyAlignment="1">
      <alignment horizontal="center" vertical="center"/>
    </xf>
    <xf numFmtId="0" fontId="0" fillId="16" borderId="1" xfId="0" applyFill="1" applyBorder="1" applyAlignment="1">
      <alignment horizontal="left" vertical="center" wrapText="1"/>
    </xf>
    <xf numFmtId="0" fontId="0" fillId="18" borderId="1" xfId="0" applyFill="1" applyBorder="1" applyAlignment="1">
      <alignment horizontal="left" vertical="center" wrapText="1"/>
    </xf>
    <xf numFmtId="0" fontId="0" fillId="19" borderId="1" xfId="0" applyFill="1" applyBorder="1" applyAlignment="1">
      <alignment horizontal="left" vertical="center" wrapText="1"/>
    </xf>
    <xf numFmtId="0" fontId="0" fillId="14" borderId="1" xfId="0" applyFill="1" applyBorder="1" applyAlignment="1">
      <alignment horizontal="left" vertical="center" wrapText="1"/>
    </xf>
    <xf numFmtId="0" fontId="0" fillId="10" borderId="0" xfId="0" applyFill="1" applyBorder="1" applyAlignment="1">
      <alignment horizontal="center" vertical="center"/>
    </xf>
    <xf numFmtId="0" fontId="0" fillId="0" borderId="0" xfId="0" applyAlignment="1">
      <alignment horizontal="center"/>
    </xf>
    <xf numFmtId="0" fontId="19" fillId="15" borderId="1" xfId="0" applyFont="1" applyFill="1" applyBorder="1" applyAlignment="1">
      <alignment horizontal="center" vertical="center" wrapText="1"/>
    </xf>
    <xf numFmtId="0" fontId="19" fillId="15" borderId="1" xfId="0" applyFont="1" applyFill="1" applyBorder="1" applyAlignment="1">
      <alignment vertical="center" wrapText="1"/>
    </xf>
    <xf numFmtId="0" fontId="19"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0" fontId="20" fillId="0" borderId="0" xfId="0" applyFont="1" applyAlignment="1">
      <alignment horizontal="center"/>
    </xf>
    <xf numFmtId="0" fontId="29" fillId="0" borderId="0" xfId="0" applyFont="1" applyAlignment="1">
      <alignment horizontal="center"/>
    </xf>
    <xf numFmtId="0" fontId="29" fillId="0" borderId="0" xfId="0" applyFont="1" applyAlignment="1">
      <alignment horizontal="center" wrapText="1"/>
    </xf>
    <xf numFmtId="0" fontId="21" fillId="0" borderId="1" xfId="0" applyFont="1" applyFill="1" applyBorder="1" applyAlignment="1"/>
    <xf numFmtId="0" fontId="21" fillId="0" borderId="1" xfId="0" applyFont="1" applyFill="1" applyBorder="1" applyAlignment="1">
      <alignment horizontal="center"/>
    </xf>
    <xf numFmtId="0" fontId="21" fillId="0" borderId="1" xfId="0" applyFont="1" applyFill="1" applyBorder="1"/>
    <xf numFmtId="0" fontId="0" fillId="0" borderId="0" xfId="0" applyFill="1" applyAlignment="1">
      <alignment horizontal="center"/>
    </xf>
    <xf numFmtId="0" fontId="0" fillId="0" borderId="0" xfId="0" applyFill="1"/>
    <xf numFmtId="0" fontId="0" fillId="0" borderId="0" xfId="0" applyFont="1" applyFill="1" applyAlignment="1">
      <alignment horizontal="center"/>
    </xf>
    <xf numFmtId="0" fontId="30" fillId="0" borderId="0" xfId="0" applyFont="1" applyFill="1" applyAlignment="1">
      <alignment horizontal="center"/>
    </xf>
    <xf numFmtId="0" fontId="31" fillId="0" borderId="0" xfId="0" applyFont="1" applyFill="1" applyAlignment="1">
      <alignment horizontal="center"/>
    </xf>
    <xf numFmtId="0" fontId="24" fillId="0" borderId="0" xfId="0" applyFont="1"/>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20" borderId="1" xfId="0" applyFill="1" applyBorder="1" applyAlignment="1">
      <alignment horizontal="left" vertical="center" wrapText="1"/>
    </xf>
    <xf numFmtId="0" fontId="32" fillId="0" borderId="0" xfId="0" applyFont="1" applyAlignment="1">
      <alignment horizontal="center" vertical="center"/>
    </xf>
    <xf numFmtId="0" fontId="32" fillId="6" borderId="1" xfId="0" applyFont="1" applyFill="1" applyBorder="1" applyAlignment="1" applyProtection="1">
      <alignment horizontal="center" vertical="center"/>
      <protection locked="0"/>
    </xf>
    <xf numFmtId="0" fontId="32" fillId="6" borderId="1" xfId="0" applyFont="1" applyFill="1" applyBorder="1" applyAlignment="1">
      <alignment horizontal="center" vertical="center" wrapText="1"/>
    </xf>
    <xf numFmtId="0" fontId="19" fillId="3" borderId="1" xfId="0" applyFont="1" applyFill="1" applyBorder="1" applyAlignment="1">
      <alignment vertical="center" wrapText="1"/>
    </xf>
    <xf numFmtId="0" fontId="32" fillId="6" borderId="1" xfId="0" applyFont="1" applyFill="1" applyBorder="1" applyAlignment="1">
      <alignment horizontal="center" vertical="center"/>
    </xf>
    <xf numFmtId="0" fontId="20" fillId="0" borderId="0" xfId="0" applyNumberFormat="1" applyFont="1" applyAlignment="1">
      <alignment vertical="top" wrapText="1"/>
    </xf>
    <xf numFmtId="0" fontId="20" fillId="0" borderId="0" xfId="0" applyFont="1" applyAlignment="1">
      <alignment vertical="top" wrapText="1"/>
    </xf>
    <xf numFmtId="0" fontId="0" fillId="0" borderId="0" xfId="0" applyAlignment="1">
      <alignment vertical="top" wrapText="1"/>
    </xf>
    <xf numFmtId="0" fontId="0" fillId="0" borderId="0" xfId="0" applyNumberFormat="1" applyAlignment="1">
      <alignment vertical="top" wrapText="1"/>
    </xf>
    <xf numFmtId="0" fontId="0" fillId="0" borderId="4" xfId="0" applyNumberFormat="1" applyBorder="1" applyAlignment="1">
      <alignment vertical="top" wrapText="1"/>
    </xf>
    <xf numFmtId="0" fontId="0" fillId="0" borderId="5" xfId="0" applyBorder="1" applyAlignment="1">
      <alignment vertical="top" wrapText="1"/>
    </xf>
    <xf numFmtId="0" fontId="20" fillId="0" borderId="0" xfId="0" applyFont="1" applyAlignment="1">
      <alignment horizontal="center" vertical="top" wrapText="1"/>
    </xf>
    <xf numFmtId="0" fontId="0" fillId="0" borderId="0" xfId="0" applyAlignment="1">
      <alignment horizontal="center" vertical="top" wrapText="1"/>
    </xf>
    <xf numFmtId="0" fontId="20" fillId="0" borderId="0" xfId="0" applyNumberFormat="1" applyFont="1" applyAlignment="1">
      <alignment horizontal="center" vertical="top" wrapText="1"/>
    </xf>
    <xf numFmtId="0" fontId="0" fillId="0" borderId="5" xfId="0" applyBorder="1" applyAlignment="1">
      <alignment horizontal="center" vertical="top" wrapText="1"/>
    </xf>
    <xf numFmtId="0" fontId="0" fillId="0" borderId="6" xfId="0" applyBorder="1" applyAlignment="1">
      <alignment horizontal="center" vertical="top" wrapText="1"/>
    </xf>
    <xf numFmtId="0" fontId="19" fillId="19" borderId="1" xfId="0" applyFont="1" applyFill="1" applyBorder="1" applyAlignment="1">
      <alignment horizontal="center" vertical="center"/>
    </xf>
    <xf numFmtId="0" fontId="34" fillId="19" borderId="1" xfId="1" applyFont="1" applyFill="1" applyBorder="1" applyAlignment="1">
      <alignment horizontal="center" wrapText="1"/>
    </xf>
    <xf numFmtId="0" fontId="34" fillId="16" borderId="1" xfId="1" applyFont="1" applyFill="1" applyBorder="1" applyAlignment="1">
      <alignment horizontal="center" vertical="center" wrapText="1"/>
    </xf>
    <xf numFmtId="0" fontId="34" fillId="9" borderId="1" xfId="1" applyFont="1" applyFill="1" applyBorder="1" applyAlignment="1">
      <alignment horizontal="center" vertical="center" wrapText="1"/>
    </xf>
    <xf numFmtId="0" fontId="34" fillId="19" borderId="1" xfId="1" applyFont="1" applyFill="1" applyBorder="1" applyAlignment="1">
      <alignment horizontal="center" vertical="center" wrapText="1"/>
    </xf>
    <xf numFmtId="0" fontId="19" fillId="14" borderId="1" xfId="0" applyFont="1" applyFill="1" applyBorder="1" applyAlignment="1">
      <alignment horizontal="center" vertical="center"/>
    </xf>
    <xf numFmtId="0" fontId="0" fillId="0" borderId="0" xfId="0" applyAlignment="1">
      <alignment vertical="center"/>
    </xf>
    <xf numFmtId="0" fontId="32" fillId="0" borderId="0" xfId="0" applyFont="1"/>
    <xf numFmtId="0" fontId="0" fillId="0" borderId="0" xfId="0" applyAlignment="1">
      <alignment horizontal="center" wrapText="1"/>
    </xf>
    <xf numFmtId="0" fontId="19" fillId="21" borderId="1" xfId="0" applyFont="1" applyFill="1" applyBorder="1" applyAlignment="1">
      <alignment horizontal="center" wrapText="1"/>
    </xf>
    <xf numFmtId="0" fontId="19" fillId="21" borderId="1" xfId="0" applyFont="1" applyFill="1" applyBorder="1"/>
    <xf numFmtId="0" fontId="27" fillId="21" borderId="1" xfId="1" applyFill="1" applyBorder="1"/>
    <xf numFmtId="0" fontId="19" fillId="21" borderId="1" xfId="0" applyFont="1" applyFill="1" applyBorder="1" applyAlignment="1">
      <alignment wrapText="1"/>
    </xf>
    <xf numFmtId="0" fontId="0" fillId="21" borderId="1" xfId="0" applyFill="1" applyBorder="1"/>
    <xf numFmtId="0" fontId="19" fillId="21" borderId="1" xfId="0" applyFont="1" applyFill="1" applyBorder="1" applyAlignment="1">
      <alignment horizontal="center" vertical="center" wrapText="1"/>
    </xf>
    <xf numFmtId="0" fontId="19" fillId="21" borderId="1" xfId="0" applyFont="1" applyFill="1" applyBorder="1" applyAlignment="1">
      <alignment horizontal="center"/>
    </xf>
    <xf numFmtId="0" fontId="19" fillId="22" borderId="1" xfId="0" applyFont="1" applyFill="1" applyBorder="1" applyAlignment="1">
      <alignment horizontal="center" wrapText="1"/>
    </xf>
    <xf numFmtId="0" fontId="19" fillId="22" borderId="1" xfId="0" applyFont="1" applyFill="1" applyBorder="1"/>
    <xf numFmtId="0" fontId="27" fillId="22" borderId="1" xfId="1" applyFill="1" applyBorder="1"/>
    <xf numFmtId="0" fontId="19" fillId="22" borderId="1" xfId="0" applyFont="1" applyFill="1" applyBorder="1" applyAlignment="1">
      <alignment wrapText="1"/>
    </xf>
    <xf numFmtId="0" fontId="0" fillId="22" borderId="1" xfId="0" applyFill="1" applyBorder="1"/>
    <xf numFmtId="0" fontId="19" fillId="22" borderId="1" xfId="0" applyFont="1" applyFill="1" applyBorder="1" applyAlignment="1">
      <alignment horizontal="center" vertical="center" wrapText="1"/>
    </xf>
    <xf numFmtId="0" fontId="19" fillId="22" borderId="1" xfId="0" applyFont="1" applyFill="1" applyBorder="1" applyAlignment="1">
      <alignment horizontal="center"/>
    </xf>
    <xf numFmtId="0" fontId="0" fillId="22" borderId="1" xfId="0" applyFill="1" applyBorder="1" applyAlignment="1">
      <alignment horizontal="center"/>
    </xf>
    <xf numFmtId="0" fontId="19" fillId="23" borderId="1" xfId="0" applyFont="1" applyFill="1" applyBorder="1" applyAlignment="1">
      <alignment horizontal="center" wrapText="1"/>
    </xf>
    <xf numFmtId="0" fontId="19" fillId="23" borderId="1" xfId="0" applyFont="1" applyFill="1" applyBorder="1"/>
    <xf numFmtId="0" fontId="27" fillId="23" borderId="1" xfId="1" applyFill="1" applyBorder="1"/>
    <xf numFmtId="0" fontId="19" fillId="23" borderId="1" xfId="0" applyFont="1" applyFill="1" applyBorder="1" applyAlignment="1">
      <alignment wrapText="1"/>
    </xf>
    <xf numFmtId="0" fontId="0" fillId="23" borderId="1" xfId="0" applyFill="1" applyBorder="1" applyAlignment="1">
      <alignment horizontal="center"/>
    </xf>
    <xf numFmtId="0" fontId="0" fillId="23" borderId="1" xfId="0" applyFill="1" applyBorder="1"/>
    <xf numFmtId="0" fontId="19" fillId="23" borderId="1" xfId="0" applyFont="1" applyFill="1" applyBorder="1" applyAlignment="1">
      <alignment horizontal="center" vertical="center" wrapText="1"/>
    </xf>
    <xf numFmtId="0" fontId="19" fillId="23" borderId="1" xfId="0" applyFont="1" applyFill="1" applyBorder="1" applyAlignment="1">
      <alignment horizontal="center"/>
    </xf>
    <xf numFmtId="0" fontId="32" fillId="23" borderId="1" xfId="0" applyFont="1" applyFill="1" applyBorder="1" applyAlignment="1">
      <alignment horizontal="center" wrapText="1"/>
    </xf>
    <xf numFmtId="0" fontId="32" fillId="23" borderId="1" xfId="0" applyFont="1" applyFill="1" applyBorder="1"/>
    <xf numFmtId="0" fontId="28" fillId="23" borderId="1" xfId="1" applyFont="1" applyFill="1" applyBorder="1"/>
    <xf numFmtId="0" fontId="32" fillId="23" borderId="1" xfId="0" applyFont="1" applyFill="1" applyBorder="1" applyAlignment="1">
      <alignment wrapText="1"/>
    </xf>
    <xf numFmtId="0" fontId="32" fillId="23" borderId="1" xfId="0" applyFont="1" applyFill="1" applyBorder="1" applyAlignment="1">
      <alignment horizontal="center" vertical="center" wrapText="1"/>
    </xf>
    <xf numFmtId="0" fontId="32" fillId="23" borderId="1" xfId="0" applyFont="1" applyFill="1" applyBorder="1" applyAlignment="1">
      <alignment horizontal="center"/>
    </xf>
    <xf numFmtId="0" fontId="19" fillId="24" borderId="1" xfId="0" applyFont="1" applyFill="1" applyBorder="1" applyAlignment="1">
      <alignment horizontal="center" wrapText="1"/>
    </xf>
    <xf numFmtId="0" fontId="19" fillId="24" borderId="1" xfId="0" applyFont="1" applyFill="1" applyBorder="1"/>
    <xf numFmtId="0" fontId="27" fillId="24" borderId="1" xfId="1" applyFill="1" applyBorder="1"/>
    <xf numFmtId="0" fontId="19" fillId="24" borderId="1" xfId="0" applyFont="1" applyFill="1" applyBorder="1" applyAlignment="1">
      <alignment wrapText="1"/>
    </xf>
    <xf numFmtId="0" fontId="19" fillId="24" borderId="1" xfId="0" applyFont="1" applyFill="1" applyBorder="1" applyAlignment="1">
      <alignment horizontal="center"/>
    </xf>
    <xf numFmtId="0" fontId="0" fillId="24" borderId="1" xfId="0" applyFill="1" applyBorder="1"/>
    <xf numFmtId="0" fontId="19" fillId="24" borderId="1" xfId="0" applyFont="1" applyFill="1" applyBorder="1" applyAlignment="1">
      <alignment horizontal="center" vertical="center" wrapText="1"/>
    </xf>
    <xf numFmtId="0" fontId="19" fillId="8" borderId="1" xfId="0" applyFont="1" applyFill="1" applyBorder="1" applyAlignment="1">
      <alignment horizontal="center" wrapText="1"/>
    </xf>
    <xf numFmtId="0" fontId="19" fillId="8" borderId="1" xfId="0" applyFont="1" applyFill="1" applyBorder="1"/>
    <xf numFmtId="0" fontId="27" fillId="8" borderId="1" xfId="1" applyFill="1" applyBorder="1"/>
    <xf numFmtId="0" fontId="19" fillId="8" borderId="1" xfId="0" applyFont="1" applyFill="1" applyBorder="1" applyAlignment="1">
      <alignment wrapText="1"/>
    </xf>
    <xf numFmtId="0" fontId="19" fillId="8" borderId="1" xfId="0" applyFont="1" applyFill="1" applyBorder="1" applyAlignment="1">
      <alignment horizontal="center"/>
    </xf>
    <xf numFmtId="0" fontId="19" fillId="8" borderId="1" xfId="0" applyFont="1" applyFill="1" applyBorder="1" applyAlignment="1">
      <alignment horizontal="center" vertical="center" wrapText="1"/>
    </xf>
    <xf numFmtId="0" fontId="19" fillId="25" borderId="1" xfId="0" applyFont="1" applyFill="1" applyBorder="1" applyAlignment="1">
      <alignment horizontal="center" wrapText="1"/>
    </xf>
    <xf numFmtId="0" fontId="27" fillId="25" borderId="1" xfId="1" applyFill="1" applyBorder="1"/>
    <xf numFmtId="0" fontId="19" fillId="25" borderId="1" xfId="0" applyFont="1" applyFill="1" applyBorder="1" applyAlignment="1">
      <alignment wrapText="1"/>
    </xf>
    <xf numFmtId="0" fontId="19" fillId="25" borderId="1" xfId="0" applyFont="1" applyFill="1" applyBorder="1" applyAlignment="1">
      <alignment horizontal="center"/>
    </xf>
    <xf numFmtId="0" fontId="0" fillId="25" borderId="1" xfId="0" applyFill="1" applyBorder="1"/>
    <xf numFmtId="0" fontId="19" fillId="25" borderId="1" xfId="0" applyFont="1" applyFill="1" applyBorder="1" applyAlignment="1">
      <alignment horizontal="center" vertical="center" wrapText="1"/>
    </xf>
    <xf numFmtId="0" fontId="20" fillId="22" borderId="1" xfId="0" applyFont="1" applyFill="1" applyBorder="1" applyAlignment="1">
      <alignment horizontal="center" wrapText="1"/>
    </xf>
    <xf numFmtId="0" fontId="19" fillId="26" borderId="1" xfId="0" applyFont="1" applyFill="1" applyBorder="1" applyAlignment="1">
      <alignment horizontal="center" wrapText="1"/>
    </xf>
    <xf numFmtId="0" fontId="19" fillId="26" borderId="1" xfId="0" applyFont="1" applyFill="1" applyBorder="1"/>
    <xf numFmtId="0" fontId="27" fillId="26" borderId="1" xfId="1" applyFill="1" applyBorder="1"/>
    <xf numFmtId="0" fontId="19" fillId="26" borderId="1" xfId="0" applyFont="1" applyFill="1" applyBorder="1" applyAlignment="1">
      <alignment wrapText="1"/>
    </xf>
    <xf numFmtId="0" fontId="19" fillId="26" borderId="1" xfId="0" applyFont="1" applyFill="1" applyBorder="1" applyAlignment="1">
      <alignment horizontal="center"/>
    </xf>
    <xf numFmtId="0" fontId="0" fillId="26" borderId="1" xfId="0" applyFill="1" applyBorder="1"/>
    <xf numFmtId="0" fontId="19" fillId="26" borderId="1" xfId="0" applyFont="1" applyFill="1" applyBorder="1" applyAlignment="1">
      <alignment horizontal="center" vertical="center" wrapText="1"/>
    </xf>
    <xf numFmtId="0" fontId="19" fillId="27" borderId="1" xfId="0" applyFont="1" applyFill="1" applyBorder="1" applyAlignment="1">
      <alignment horizontal="center" wrapText="1"/>
    </xf>
    <xf numFmtId="0" fontId="19" fillId="27" borderId="1" xfId="0" applyFont="1" applyFill="1" applyBorder="1"/>
    <xf numFmtId="0" fontId="27" fillId="27" borderId="1" xfId="1" applyFill="1" applyBorder="1"/>
    <xf numFmtId="0" fontId="19" fillId="27" borderId="1" xfId="0" applyFont="1" applyFill="1" applyBorder="1" applyAlignment="1">
      <alignment wrapText="1"/>
    </xf>
    <xf numFmtId="0" fontId="19" fillId="27" borderId="1" xfId="0" applyFont="1" applyFill="1" applyBorder="1" applyAlignment="1">
      <alignment horizontal="center"/>
    </xf>
    <xf numFmtId="0" fontId="0" fillId="27" borderId="1" xfId="0" applyFill="1" applyBorder="1"/>
    <xf numFmtId="0" fontId="19" fillId="27" borderId="1" xfId="0" applyFont="1" applyFill="1" applyBorder="1" applyAlignment="1">
      <alignment horizontal="center" vertical="center" wrapText="1"/>
    </xf>
    <xf numFmtId="0" fontId="19" fillId="28" borderId="1" xfId="0" applyFont="1" applyFill="1" applyBorder="1" applyAlignment="1">
      <alignment horizontal="center" wrapText="1"/>
    </xf>
    <xf numFmtId="0" fontId="19" fillId="28" borderId="1" xfId="0" applyFont="1" applyFill="1" applyBorder="1"/>
    <xf numFmtId="0" fontId="27" fillId="28" borderId="1" xfId="1" applyFill="1" applyBorder="1"/>
    <xf numFmtId="0" fontId="19" fillId="28" borderId="1" xfId="0" applyFont="1" applyFill="1" applyBorder="1" applyAlignment="1">
      <alignment wrapText="1"/>
    </xf>
    <xf numFmtId="0" fontId="19" fillId="28" borderId="1" xfId="0" applyFont="1" applyFill="1" applyBorder="1" applyAlignment="1">
      <alignment horizontal="center"/>
    </xf>
    <xf numFmtId="0" fontId="0" fillId="28" borderId="1" xfId="0" applyFill="1" applyBorder="1"/>
    <xf numFmtId="0" fontId="19" fillId="28" borderId="1" xfId="0" applyFont="1" applyFill="1" applyBorder="1" applyAlignment="1">
      <alignment horizontal="center" vertical="center" wrapText="1"/>
    </xf>
    <xf numFmtId="0" fontId="0" fillId="26" borderId="1" xfId="0" applyFill="1" applyBorder="1" applyAlignment="1">
      <alignment horizontal="center" wrapText="1"/>
    </xf>
    <xf numFmtId="0" fontId="0" fillId="19" borderId="1" xfId="0" applyFill="1" applyBorder="1" applyAlignment="1">
      <alignment horizontal="center" vertical="center"/>
    </xf>
    <xf numFmtId="0" fontId="0" fillId="16" borderId="1" xfId="0" applyFill="1" applyBorder="1" applyAlignment="1">
      <alignment horizontal="center" vertical="center"/>
    </xf>
    <xf numFmtId="0" fontId="0" fillId="14" borderId="1" xfId="0" applyFill="1" applyBorder="1" applyAlignment="1">
      <alignment horizontal="center" vertical="center"/>
    </xf>
    <xf numFmtId="0" fontId="32" fillId="5" borderId="1" xfId="0" applyFont="1" applyFill="1" applyBorder="1" applyAlignment="1">
      <alignment horizontal="center" vertical="center"/>
    </xf>
    <xf numFmtId="0" fontId="32" fillId="5" borderId="1" xfId="0" applyFont="1" applyFill="1" applyBorder="1" applyAlignment="1">
      <alignment horizontal="center" vertical="center" wrapText="1"/>
    </xf>
    <xf numFmtId="0" fontId="19" fillId="16" borderId="1" xfId="0" applyFont="1" applyFill="1" applyBorder="1" applyAlignment="1">
      <alignment horizontal="center" vertical="center" wrapText="1"/>
    </xf>
    <xf numFmtId="0" fontId="17" fillId="16" borderId="1" xfId="1" applyFont="1" applyFill="1" applyBorder="1" applyAlignment="1">
      <alignment horizontal="center" vertical="center" wrapText="1"/>
    </xf>
    <xf numFmtId="0" fontId="19" fillId="16" borderId="1" xfId="1" applyFont="1" applyFill="1" applyBorder="1" applyAlignment="1">
      <alignment horizontal="center" vertical="center" wrapText="1"/>
    </xf>
    <xf numFmtId="0" fontId="33" fillId="0" borderId="0" xfId="0" applyFont="1" applyAlignment="1">
      <alignment horizontal="center" vertical="center"/>
    </xf>
    <xf numFmtId="0" fontId="0" fillId="19" borderId="1" xfId="0" applyFill="1" applyBorder="1" applyAlignment="1">
      <alignment horizontal="center" vertical="center" wrapText="1"/>
    </xf>
    <xf numFmtId="0" fontId="19" fillId="19" borderId="1" xfId="0" applyFont="1" applyFill="1" applyBorder="1" applyAlignment="1">
      <alignment horizontal="center" vertical="center" wrapText="1"/>
    </xf>
    <xf numFmtId="0" fontId="19" fillId="20" borderId="1" xfId="0" applyFont="1" applyFill="1" applyBorder="1" applyAlignment="1">
      <alignment horizontal="left" vertical="center" wrapText="1"/>
    </xf>
    <xf numFmtId="0" fontId="20" fillId="0" borderId="1" xfId="0" applyFont="1" applyBorder="1" applyAlignment="1">
      <alignment horizontal="left" vertical="center" wrapText="1"/>
    </xf>
    <xf numFmtId="0" fontId="0" fillId="3"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xf>
    <xf numFmtId="0" fontId="0" fillId="0" borderId="1" xfId="0" applyBorder="1" applyAlignment="1">
      <alignment horizontal="center" vertical="center"/>
    </xf>
    <xf numFmtId="0" fontId="0" fillId="4" borderId="1" xfId="0" applyFill="1" applyBorder="1" applyAlignment="1">
      <alignment horizontal="center" vertical="center" wrapText="1"/>
    </xf>
    <xf numFmtId="0" fontId="0" fillId="19" borderId="1" xfId="0" applyFill="1" applyBorder="1" applyAlignment="1">
      <alignment horizontal="center" vertical="center"/>
    </xf>
    <xf numFmtId="0" fontId="18" fillId="19" borderId="1" xfId="0" applyFont="1" applyFill="1" applyBorder="1" applyAlignment="1">
      <alignment horizontal="center" vertical="center"/>
    </xf>
    <xf numFmtId="0" fontId="0" fillId="5" borderId="1" xfId="0" applyFill="1" applyBorder="1" applyAlignment="1">
      <alignment horizontal="center" vertical="center" wrapText="1"/>
    </xf>
    <xf numFmtId="0" fontId="0" fillId="0" borderId="1" xfId="0" applyBorder="1" applyAlignment="1">
      <alignment horizontal="left" vertical="center" wrapText="1"/>
    </xf>
    <xf numFmtId="0" fontId="19" fillId="5" borderId="1" xfId="0" applyFont="1" applyFill="1" applyBorder="1" applyAlignment="1">
      <alignment horizontal="center" vertical="center"/>
    </xf>
    <xf numFmtId="0" fontId="32" fillId="0" borderId="1" xfId="0" applyFont="1" applyBorder="1" applyAlignment="1">
      <alignment horizontal="center" vertical="center"/>
    </xf>
    <xf numFmtId="0" fontId="32" fillId="0" borderId="1" xfId="0" applyFont="1" applyBorder="1" applyAlignment="1">
      <alignment horizontal="left" vertical="center" wrapText="1"/>
    </xf>
    <xf numFmtId="0" fontId="19" fillId="0" borderId="0" xfId="0" applyFont="1" applyFill="1" applyAlignment="1">
      <alignment horizontal="center" vertical="center"/>
    </xf>
    <xf numFmtId="0" fontId="0" fillId="16" borderId="1" xfId="0" applyFill="1" applyBorder="1" applyAlignment="1">
      <alignment vertical="center" wrapText="1"/>
    </xf>
    <xf numFmtId="0" fontId="0" fillId="14" borderId="1" xfId="0" applyFill="1" applyBorder="1" applyAlignment="1">
      <alignment horizontal="center" vertical="center"/>
    </xf>
    <xf numFmtId="0" fontId="0" fillId="6" borderId="1" xfId="0" applyFill="1" applyBorder="1" applyAlignment="1">
      <alignment horizontal="center" vertical="center"/>
    </xf>
    <xf numFmtId="0" fontId="0" fillId="5" borderId="1" xfId="0" applyFill="1" applyBorder="1" applyAlignment="1">
      <alignment horizontal="center" vertical="center"/>
    </xf>
    <xf numFmtId="0" fontId="0" fillId="19" borderId="1" xfId="0" applyFill="1" applyBorder="1" applyAlignment="1">
      <alignment horizontal="center" vertical="center"/>
    </xf>
    <xf numFmtId="0" fontId="0" fillId="5" borderId="1" xfId="0" applyFill="1" applyBorder="1" applyAlignment="1">
      <alignment horizontal="center" vertical="center" wrapText="1"/>
    </xf>
    <xf numFmtId="0" fontId="0" fillId="2" borderId="11" xfId="0" applyFill="1" applyBorder="1" applyAlignment="1">
      <alignment vertical="center" wrapText="1"/>
    </xf>
    <xf numFmtId="0" fontId="0" fillId="18" borderId="13" xfId="0" applyFill="1" applyBorder="1" applyAlignment="1">
      <alignment vertical="center"/>
    </xf>
    <xf numFmtId="0" fontId="0" fillId="4" borderId="13" xfId="0" applyFill="1" applyBorder="1" applyAlignment="1">
      <alignment vertical="center" wrapText="1"/>
    </xf>
    <xf numFmtId="0" fontId="0" fillId="2" borderId="11" xfId="0" applyFill="1" applyBorder="1" applyAlignment="1">
      <alignment horizontal="center" vertical="center" wrapText="1"/>
    </xf>
    <xf numFmtId="0" fontId="0" fillId="2" borderId="11" xfId="0" applyFill="1" applyBorder="1" applyAlignment="1">
      <alignment horizontal="center" vertical="center"/>
    </xf>
    <xf numFmtId="0" fontId="0" fillId="2" borderId="11" xfId="0" applyFill="1" applyBorder="1" applyAlignment="1">
      <alignment horizontal="left" vertical="center" wrapText="1"/>
    </xf>
    <xf numFmtId="0" fontId="36" fillId="15" borderId="1" xfId="0" applyFont="1" applyFill="1" applyBorder="1" applyAlignment="1">
      <alignment horizontal="center" vertical="center" wrapText="1"/>
    </xf>
    <xf numFmtId="0" fontId="19" fillId="2" borderId="11" xfId="0" applyFont="1" applyFill="1" applyBorder="1" applyAlignment="1">
      <alignment horizontal="center" vertical="center"/>
    </xf>
    <xf numFmtId="0" fontId="19" fillId="17" borderId="11" xfId="0" applyFont="1" applyFill="1" applyBorder="1" applyAlignment="1">
      <alignment horizontal="center" vertical="center" wrapText="1"/>
    </xf>
    <xf numFmtId="0" fontId="0" fillId="17" borderId="11" xfId="0" applyFill="1" applyBorder="1" applyAlignment="1">
      <alignment horizontal="center" vertical="center"/>
    </xf>
    <xf numFmtId="0" fontId="0" fillId="17" borderId="11" xfId="0" applyFill="1" applyBorder="1" applyAlignment="1">
      <alignment horizontal="center" vertical="center" wrapText="1"/>
    </xf>
    <xf numFmtId="0" fontId="36" fillId="15" borderId="1" xfId="0" applyFont="1" applyFill="1" applyBorder="1" applyAlignment="1">
      <alignment horizontal="center" vertical="center"/>
    </xf>
    <xf numFmtId="0" fontId="37" fillId="2" borderId="1" xfId="0" applyFont="1" applyFill="1" applyBorder="1" applyAlignment="1">
      <alignment horizontal="center" vertical="center"/>
    </xf>
    <xf numFmtId="0" fontId="0" fillId="4" borderId="11" xfId="0" applyFill="1" applyBorder="1" applyAlignment="1">
      <alignment horizontal="center" vertical="center" wrapText="1"/>
    </xf>
    <xf numFmtId="0" fontId="0" fillId="4" borderId="11" xfId="0" applyFill="1" applyBorder="1" applyAlignment="1">
      <alignment horizontal="center" vertical="center"/>
    </xf>
    <xf numFmtId="0" fontId="0" fillId="4" borderId="11" xfId="0" applyFill="1" applyBorder="1" applyAlignment="1">
      <alignment horizontal="left" vertical="center" wrapText="1"/>
    </xf>
    <xf numFmtId="0" fontId="36" fillId="29" borderId="11" xfId="0" applyFont="1" applyFill="1" applyBorder="1" applyAlignment="1">
      <alignment horizontal="center" vertical="center" wrapText="1"/>
    </xf>
    <xf numFmtId="0" fontId="19" fillId="4" borderId="11" xfId="0" applyFont="1" applyFill="1" applyBorder="1" applyAlignment="1">
      <alignment horizontal="center" vertical="center" wrapText="1"/>
    </xf>
    <xf numFmtId="0" fontId="19" fillId="18" borderId="11" xfId="0" applyFont="1" applyFill="1" applyBorder="1" applyAlignment="1">
      <alignment horizontal="center" vertical="center" wrapText="1"/>
    </xf>
    <xf numFmtId="0" fontId="0" fillId="18" borderId="11" xfId="0" applyFill="1" applyBorder="1" applyAlignment="1">
      <alignment horizontal="center" vertical="center"/>
    </xf>
    <xf numFmtId="0" fontId="0" fillId="18" borderId="11" xfId="0" applyFill="1" applyBorder="1" applyAlignment="1">
      <alignment horizontal="center" vertical="center" wrapText="1"/>
    </xf>
    <xf numFmtId="0" fontId="0" fillId="30" borderId="1" xfId="0" applyFill="1" applyBorder="1" applyAlignment="1">
      <alignment horizontal="center" vertical="center"/>
    </xf>
    <xf numFmtId="0" fontId="0" fillId="30" borderId="1" xfId="0" applyFill="1" applyBorder="1" applyAlignment="1">
      <alignment horizontal="center" vertical="center" wrapText="1"/>
    </xf>
    <xf numFmtId="0" fontId="19" fillId="20" borderId="1" xfId="0" applyFont="1" applyFill="1" applyBorder="1" applyAlignment="1">
      <alignment horizontal="center" vertical="center" wrapText="1"/>
    </xf>
    <xf numFmtId="0" fontId="19" fillId="14" borderId="1" xfId="0" applyFont="1" applyFill="1" applyBorder="1" applyAlignment="1">
      <alignment horizontal="center" vertical="center" wrapText="1"/>
    </xf>
    <xf numFmtId="0" fontId="34" fillId="16" borderId="1" xfId="1" applyFont="1" applyFill="1" applyBorder="1" applyAlignment="1">
      <alignment horizontal="center" vertical="center"/>
    </xf>
    <xf numFmtId="0" fontId="34" fillId="9" borderId="1" xfId="1" applyFont="1" applyFill="1" applyBorder="1" applyAlignment="1">
      <alignment horizontal="center" vertical="center"/>
    </xf>
    <xf numFmtId="0" fontId="34" fillId="19" borderId="1" xfId="1" applyFont="1" applyFill="1" applyBorder="1" applyAlignment="1">
      <alignment horizontal="center" vertical="center"/>
    </xf>
    <xf numFmtId="0" fontId="19" fillId="19" borderId="1" xfId="1" applyFont="1" applyFill="1" applyBorder="1" applyAlignment="1">
      <alignment horizontal="center" vertical="center" wrapText="1"/>
    </xf>
    <xf numFmtId="0" fontId="19" fillId="6" borderId="1" xfId="0" applyFont="1" applyFill="1" applyBorder="1" applyAlignment="1" applyProtection="1">
      <alignment horizontal="center" vertical="center" wrapText="1"/>
      <protection locked="0"/>
    </xf>
    <xf numFmtId="0" fontId="19" fillId="19" borderId="1" xfId="1" applyFont="1" applyFill="1" applyBorder="1" applyAlignment="1">
      <alignment horizontal="center" wrapText="1"/>
    </xf>
    <xf numFmtId="0" fontId="19" fillId="0" borderId="1" xfId="0" applyFont="1" applyBorder="1" applyAlignment="1">
      <alignment horizontal="center" vertical="center" wrapText="1"/>
    </xf>
    <xf numFmtId="0" fontId="19" fillId="0" borderId="1" xfId="0" applyFont="1" applyFill="1" applyBorder="1" applyAlignment="1">
      <alignment horizontal="center" vertical="center"/>
    </xf>
    <xf numFmtId="0" fontId="19" fillId="0" borderId="1" xfId="0" applyFont="1" applyBorder="1" applyAlignment="1">
      <alignment horizontal="center" vertical="center"/>
    </xf>
    <xf numFmtId="0" fontId="19" fillId="30" borderId="1" xfId="0" applyFont="1" applyFill="1" applyBorder="1" applyAlignment="1">
      <alignment horizontal="center" vertical="center"/>
    </xf>
    <xf numFmtId="0" fontId="19" fillId="30" borderId="1" xfId="0" applyFont="1" applyFill="1" applyBorder="1" applyAlignment="1">
      <alignment horizontal="center" vertical="center" wrapText="1"/>
    </xf>
    <xf numFmtId="0" fontId="30" fillId="16" borderId="1" xfId="1" applyFont="1" applyFill="1" applyBorder="1" applyAlignment="1">
      <alignment horizontal="center" vertical="center"/>
    </xf>
    <xf numFmtId="0" fontId="19" fillId="16" borderId="1" xfId="0" applyFont="1" applyFill="1" applyBorder="1" applyAlignment="1">
      <alignment horizontal="left" vertical="center" wrapText="1"/>
    </xf>
    <xf numFmtId="0" fontId="0" fillId="5" borderId="1" xfId="0" applyFill="1" applyBorder="1" applyAlignment="1">
      <alignment horizontal="center" vertical="center"/>
    </xf>
    <xf numFmtId="0" fontId="0" fillId="19" borderId="2" xfId="0" applyFill="1" applyBorder="1" applyAlignment="1">
      <alignment horizontal="center" vertical="center"/>
    </xf>
    <xf numFmtId="0" fontId="19" fillId="0" borderId="0" xfId="0" applyFont="1" applyAlignment="1">
      <alignment horizontal="center" vertical="center"/>
    </xf>
    <xf numFmtId="0" fontId="19" fillId="2" borderId="11" xfId="0" applyFont="1" applyFill="1" applyBorder="1" applyAlignment="1">
      <alignment horizontal="center" vertical="center" wrapText="1"/>
    </xf>
    <xf numFmtId="0" fontId="19" fillId="4" borderId="1" xfId="0" applyFont="1" applyFill="1" applyBorder="1" applyAlignment="1">
      <alignment horizontal="center" vertical="center" wrapText="1"/>
    </xf>
    <xf numFmtId="0" fontId="19" fillId="18" borderId="12" xfId="0" applyFont="1" applyFill="1" applyBorder="1" applyAlignment="1">
      <alignment vertical="center"/>
    </xf>
    <xf numFmtId="0" fontId="19" fillId="4" borderId="12" xfId="0" applyFont="1" applyFill="1" applyBorder="1" applyAlignment="1">
      <alignment vertical="center" wrapText="1"/>
    </xf>
    <xf numFmtId="0" fontId="19" fillId="17" borderId="1" xfId="0" applyFont="1" applyFill="1" applyBorder="1" applyAlignment="1">
      <alignment horizontal="center" vertical="center"/>
    </xf>
    <xf numFmtId="0" fontId="19" fillId="2" borderId="1" xfId="0" applyFont="1" applyFill="1" applyBorder="1" applyAlignment="1">
      <alignment horizontal="center" vertical="center"/>
    </xf>
    <xf numFmtId="0" fontId="19" fillId="2" borderId="1" xfId="0" applyFont="1" applyFill="1" applyBorder="1" applyAlignment="1">
      <alignment horizontal="center" vertical="center" wrapText="1"/>
    </xf>
    <xf numFmtId="0" fontId="19" fillId="2" borderId="1" xfId="0" applyFont="1" applyFill="1" applyBorder="1" applyAlignment="1">
      <alignment horizontal="left" vertical="center" wrapText="1"/>
    </xf>
    <xf numFmtId="0" fontId="19" fillId="17" borderId="1" xfId="0" applyFont="1" applyFill="1" applyBorder="1" applyAlignment="1">
      <alignment horizontal="center" vertical="center" wrapText="1"/>
    </xf>
    <xf numFmtId="0" fontId="19" fillId="17" borderId="1" xfId="0" applyFont="1" applyFill="1" applyBorder="1" applyAlignment="1">
      <alignment horizontal="left" vertical="center" wrapText="1"/>
    </xf>
    <xf numFmtId="0" fontId="19" fillId="4" borderId="1" xfId="0" applyFont="1" applyFill="1" applyBorder="1" applyAlignment="1">
      <alignment vertical="center" wrapText="1"/>
    </xf>
    <xf numFmtId="0" fontId="19" fillId="0" borderId="0" xfId="0" applyFont="1" applyAlignment="1">
      <alignment horizontal="center" vertical="center" wrapText="1"/>
    </xf>
    <xf numFmtId="0" fontId="19" fillId="4" borderId="1" xfId="0" applyFont="1" applyFill="1" applyBorder="1" applyAlignment="1">
      <alignment horizontal="center" vertical="center"/>
    </xf>
    <xf numFmtId="0" fontId="19" fillId="18" borderId="1" xfId="0" applyFont="1" applyFill="1" applyBorder="1" applyAlignment="1">
      <alignment horizontal="center" vertical="center" wrapText="1"/>
    </xf>
    <xf numFmtId="0" fontId="19" fillId="18" borderId="1" xfId="0" applyFont="1" applyFill="1" applyBorder="1" applyAlignment="1">
      <alignment horizontal="center" vertical="center"/>
    </xf>
    <xf numFmtId="0" fontId="19" fillId="18" borderId="1" xfId="0" applyFont="1" applyFill="1" applyBorder="1" applyAlignment="1">
      <alignment horizontal="left" vertical="center" wrapText="1"/>
    </xf>
    <xf numFmtId="0" fontId="0" fillId="6" borderId="1" xfId="0" applyFill="1" applyBorder="1" applyAlignment="1">
      <alignment horizontal="center" vertical="center"/>
    </xf>
    <xf numFmtId="0" fontId="0" fillId="5" borderId="1" xfId="0" applyFill="1" applyBorder="1" applyAlignment="1">
      <alignment horizontal="center" vertical="center"/>
    </xf>
    <xf numFmtId="0" fontId="0" fillId="14" borderId="1" xfId="0" applyFill="1" applyBorder="1" applyAlignment="1">
      <alignment horizontal="center" vertical="center"/>
    </xf>
    <xf numFmtId="0" fontId="0" fillId="19" borderId="1" xfId="0" applyFill="1" applyBorder="1" applyAlignment="1">
      <alignment horizontal="center" vertical="center"/>
    </xf>
    <xf numFmtId="0" fontId="0" fillId="5" borderId="1" xfId="0" applyFill="1" applyBorder="1" applyAlignment="1">
      <alignment horizontal="center" vertical="center" wrapText="1"/>
    </xf>
    <xf numFmtId="0" fontId="16" fillId="26" borderId="1" xfId="1" applyFont="1" applyFill="1" applyBorder="1"/>
    <xf numFmtId="0" fontId="0" fillId="8" borderId="1" xfId="0" applyFill="1" applyBorder="1" applyAlignment="1">
      <alignment horizontal="center" vertical="center" wrapText="1"/>
    </xf>
    <xf numFmtId="0" fontId="19" fillId="62" borderId="1" xfId="0" applyFont="1" applyFill="1" applyBorder="1" applyAlignment="1">
      <alignment horizontal="center" vertical="center" wrapText="1"/>
    </xf>
    <xf numFmtId="0" fontId="19" fillId="62" borderId="1" xfId="0" applyFont="1" applyFill="1" applyBorder="1" applyAlignment="1">
      <alignment horizontal="left" vertical="center" wrapText="1"/>
    </xf>
    <xf numFmtId="0" fontId="0" fillId="19" borderId="1" xfId="0" applyFill="1" applyBorder="1" applyAlignment="1">
      <alignment horizontal="center" vertical="center"/>
    </xf>
    <xf numFmtId="0" fontId="0" fillId="5" borderId="1" xfId="0" applyFill="1" applyBorder="1" applyAlignment="1">
      <alignment horizontal="center" vertical="center"/>
    </xf>
    <xf numFmtId="0" fontId="0" fillId="16" borderId="1" xfId="0" applyFill="1" applyBorder="1" applyAlignment="1">
      <alignment horizontal="center" vertical="center"/>
    </xf>
    <xf numFmtId="0" fontId="0" fillId="19" borderId="1" xfId="0" applyFill="1" applyBorder="1" applyAlignment="1">
      <alignment horizontal="center" vertical="center"/>
    </xf>
    <xf numFmtId="0" fontId="13" fillId="0" borderId="0" xfId="49"/>
    <xf numFmtId="0" fontId="19" fillId="0" borderId="1" xfId="0" applyFont="1" applyBorder="1" applyAlignment="1">
      <alignment horizontal="left" vertical="center" wrapText="1"/>
    </xf>
    <xf numFmtId="0" fontId="19" fillId="14" borderId="1" xfId="0" applyFont="1" applyFill="1" applyBorder="1" applyAlignment="1">
      <alignment horizontal="left" vertical="center" wrapText="1"/>
    </xf>
    <xf numFmtId="0" fontId="30" fillId="14" borderId="1" xfId="1" applyFont="1" applyFill="1" applyBorder="1" applyAlignment="1">
      <alignment horizontal="center" vertical="center"/>
    </xf>
    <xf numFmtId="0" fontId="0" fillId="5" borderId="1" xfId="0" applyFill="1" applyBorder="1" applyAlignment="1">
      <alignment horizontal="center" vertical="center"/>
    </xf>
    <xf numFmtId="0" fontId="0" fillId="19" borderId="1" xfId="0" applyFill="1" applyBorder="1" applyAlignment="1">
      <alignment horizontal="center" vertical="center"/>
    </xf>
    <xf numFmtId="0" fontId="11" fillId="0" borderId="0" xfId="49" applyFont="1"/>
    <xf numFmtId="0" fontId="0" fillId="19" borderId="11" xfId="0" applyFill="1" applyBorder="1" applyAlignment="1">
      <alignment horizontal="center" vertical="center" wrapText="1"/>
    </xf>
    <xf numFmtId="0" fontId="19" fillId="19" borderId="11" xfId="0" applyFont="1" applyFill="1" applyBorder="1" applyAlignment="1">
      <alignment horizontal="center" vertical="center" wrapText="1"/>
    </xf>
    <xf numFmtId="0" fontId="0" fillId="19" borderId="11" xfId="0" applyFill="1" applyBorder="1" applyAlignment="1">
      <alignment horizontal="center" vertical="center"/>
    </xf>
    <xf numFmtId="0" fontId="19" fillId="6" borderId="11" xfId="0" applyFont="1" applyFill="1" applyBorder="1" applyAlignment="1">
      <alignment horizontal="center" vertical="center" wrapText="1"/>
    </xf>
    <xf numFmtId="0" fontId="0" fillId="19" borderId="13" xfId="0" applyFill="1" applyBorder="1" applyAlignment="1">
      <alignment horizontal="center" vertical="center" wrapText="1"/>
    </xf>
    <xf numFmtId="0" fontId="19" fillId="19" borderId="13" xfId="0" applyFont="1" applyFill="1" applyBorder="1" applyAlignment="1">
      <alignment horizontal="center" vertical="center" wrapText="1"/>
    </xf>
    <xf numFmtId="0" fontId="0" fillId="19" borderId="13" xfId="0" applyFill="1" applyBorder="1" applyAlignment="1">
      <alignment horizontal="center" vertical="center"/>
    </xf>
    <xf numFmtId="0" fontId="19" fillId="6" borderId="13" xfId="0" applyFont="1" applyFill="1" applyBorder="1" applyAlignment="1">
      <alignment horizontal="center" vertical="center" wrapText="1"/>
    </xf>
    <xf numFmtId="0" fontId="32" fillId="0" borderId="0" xfId="0" applyFont="1" applyFill="1" applyBorder="1" applyAlignment="1">
      <alignment horizontal="center" vertical="center" wrapText="1"/>
    </xf>
    <xf numFmtId="0" fontId="0" fillId="19" borderId="1" xfId="0" applyFill="1" applyBorder="1" applyAlignment="1">
      <alignment horizontal="center" vertical="center"/>
    </xf>
    <xf numFmtId="0" fontId="0" fillId="5" borderId="1" xfId="0" applyFill="1" applyBorder="1" applyAlignment="1">
      <alignment horizontal="center" vertical="center"/>
    </xf>
    <xf numFmtId="0" fontId="0" fillId="6" borderId="1" xfId="0" applyFill="1" applyBorder="1" applyAlignment="1">
      <alignment horizontal="center" vertical="center"/>
    </xf>
    <xf numFmtId="0" fontId="0" fillId="5" borderId="1" xfId="0" applyFill="1" applyBorder="1" applyAlignment="1">
      <alignment horizontal="center" vertical="center"/>
    </xf>
    <xf numFmtId="0" fontId="0" fillId="19" borderId="1" xfId="0" applyFill="1" applyBorder="1" applyAlignment="1">
      <alignment horizontal="center" vertical="center"/>
    </xf>
    <xf numFmtId="0" fontId="53" fillId="0" borderId="0" xfId="65" applyAlignment="1" applyProtection="1"/>
    <xf numFmtId="0" fontId="0" fillId="5" borderId="1" xfId="0" applyFill="1" applyBorder="1" applyAlignment="1">
      <alignment horizontal="center" vertical="center" wrapText="1"/>
    </xf>
    <xf numFmtId="0" fontId="0" fillId="3" borderId="1" xfId="0" applyFill="1" applyBorder="1" applyAlignment="1">
      <alignment horizontal="center" vertical="center" wrapText="1"/>
    </xf>
    <xf numFmtId="0" fontId="18" fillId="14" borderId="1" xfId="0" applyFont="1" applyFill="1" applyBorder="1" applyAlignment="1">
      <alignment horizontal="center" vertical="center" wrapText="1"/>
    </xf>
    <xf numFmtId="0" fontId="13" fillId="0" borderId="0" xfId="49" applyAlignment="1">
      <alignment wrapText="1"/>
    </xf>
    <xf numFmtId="0" fontId="18" fillId="15" borderId="1" xfId="0" applyFont="1" applyFill="1" applyBorder="1" applyAlignment="1">
      <alignment vertical="center" wrapText="1"/>
    </xf>
    <xf numFmtId="0" fontId="18" fillId="16" borderId="1" xfId="0" applyFont="1" applyFill="1" applyBorder="1" applyAlignment="1">
      <alignment horizontal="center" vertical="center" wrapText="1"/>
    </xf>
    <xf numFmtId="0" fontId="18" fillId="0" borderId="0" xfId="0" applyFont="1"/>
    <xf numFmtId="49" fontId="18" fillId="0" borderId="0" xfId="0" applyNumberFormat="1" applyFont="1"/>
    <xf numFmtId="15" fontId="0" fillId="0" borderId="0" xfId="0" applyNumberFormat="1"/>
    <xf numFmtId="0" fontId="0" fillId="3" borderId="1" xfId="0" applyFill="1" applyBorder="1" applyAlignment="1">
      <alignment horizontal="center" vertical="center" wrapText="1"/>
    </xf>
    <xf numFmtId="0" fontId="18" fillId="5" borderId="1" xfId="0" applyFont="1" applyFill="1" applyBorder="1" applyAlignment="1">
      <alignment horizontal="center" vertical="center"/>
    </xf>
    <xf numFmtId="0" fontId="0" fillId="5" borderId="1" xfId="0" applyFill="1" applyBorder="1" applyAlignment="1">
      <alignment horizontal="center" vertical="center" wrapText="1"/>
    </xf>
    <xf numFmtId="0" fontId="18" fillId="5" borderId="1" xfId="0" applyFont="1" applyFill="1" applyBorder="1" applyAlignment="1">
      <alignment horizontal="center" vertical="center"/>
    </xf>
    <xf numFmtId="0" fontId="0" fillId="5" borderId="1" xfId="0" applyFill="1" applyBorder="1" applyAlignment="1">
      <alignment horizontal="center" vertical="center" wrapText="1"/>
    </xf>
    <xf numFmtId="0" fontId="0" fillId="3" borderId="1" xfId="0" applyFill="1" applyBorder="1" applyAlignment="1">
      <alignment horizontal="center" vertical="center" wrapText="1"/>
    </xf>
    <xf numFmtId="0" fontId="18" fillId="3" borderId="1" xfId="0" applyFont="1" applyFill="1" applyBorder="1" applyAlignment="1">
      <alignment horizontal="center" vertical="center"/>
    </xf>
    <xf numFmtId="0" fontId="18" fillId="5" borderId="1" xfId="0" applyFont="1" applyFill="1" applyBorder="1" applyAlignment="1">
      <alignment horizontal="left" vertical="center" wrapText="1"/>
    </xf>
    <xf numFmtId="0" fontId="18" fillId="5" borderId="1" xfId="0" applyFont="1" applyFill="1" applyBorder="1" applyAlignment="1">
      <alignment horizontal="center" vertical="center" wrapText="1"/>
    </xf>
    <xf numFmtId="0" fontId="0" fillId="4" borderId="1" xfId="0" applyFill="1" applyBorder="1" applyAlignment="1">
      <alignment horizontal="center" vertical="center"/>
    </xf>
    <xf numFmtId="0" fontId="0" fillId="0" borderId="23" xfId="0" applyBorder="1" applyAlignment="1">
      <alignment horizontal="center" vertical="center" wrapText="1"/>
    </xf>
    <xf numFmtId="0" fontId="18" fillId="15" borderId="1" xfId="0" applyFont="1" applyFill="1" applyBorder="1" applyAlignment="1">
      <alignment horizontal="center" vertical="center"/>
    </xf>
    <xf numFmtId="0" fontId="18" fillId="15" borderId="1" xfId="0" applyFont="1" applyFill="1" applyBorder="1" applyAlignment="1">
      <alignment horizontal="center" vertical="center" wrapText="1"/>
    </xf>
    <xf numFmtId="0" fontId="18" fillId="4" borderId="11" xfId="0" applyFont="1" applyFill="1" applyBorder="1" applyAlignment="1">
      <alignment horizontal="center" vertical="center" wrapText="1"/>
    </xf>
    <xf numFmtId="0" fontId="18" fillId="4" borderId="1" xfId="0" applyFont="1" applyFill="1" applyBorder="1" applyAlignment="1">
      <alignment horizontal="center" vertical="center" wrapText="1"/>
    </xf>
    <xf numFmtId="0" fontId="18" fillId="4" borderId="11" xfId="0" applyFont="1" applyFill="1" applyBorder="1" applyAlignment="1">
      <alignment horizontal="center" vertical="center"/>
    </xf>
    <xf numFmtId="0" fontId="18" fillId="4" borderId="1" xfId="0" applyFont="1" applyFill="1" applyBorder="1" applyAlignment="1">
      <alignment horizontal="center" vertical="center"/>
    </xf>
    <xf numFmtId="0" fontId="18" fillId="16" borderId="1" xfId="0" applyFont="1" applyFill="1" applyBorder="1" applyAlignment="1">
      <alignment horizontal="center" vertical="center"/>
    </xf>
    <xf numFmtId="0" fontId="18" fillId="4" borderId="1" xfId="0" applyFont="1" applyFill="1" applyBorder="1" applyAlignment="1">
      <alignment vertical="center" wrapText="1"/>
    </xf>
    <xf numFmtId="0" fontId="0" fillId="19" borderId="1" xfId="0" applyFill="1" applyBorder="1" applyAlignment="1">
      <alignment horizontal="center" vertical="center"/>
    </xf>
    <xf numFmtId="0" fontId="18" fillId="5" borderId="1" xfId="0" applyFont="1" applyFill="1" applyBorder="1" applyAlignment="1">
      <alignment horizontal="center" vertical="center"/>
    </xf>
    <xf numFmtId="0" fontId="0" fillId="16" borderId="1" xfId="0" applyFill="1" applyBorder="1" applyAlignment="1">
      <alignment horizontal="center" vertical="center"/>
    </xf>
    <xf numFmtId="0" fontId="0" fillId="14" borderId="1" xfId="0" applyFill="1" applyBorder="1" applyAlignment="1">
      <alignment horizontal="center" vertical="center"/>
    </xf>
    <xf numFmtId="0" fontId="0" fillId="5" borderId="1" xfId="0" applyFill="1" applyBorder="1" applyAlignment="1">
      <alignment horizontal="center" vertical="center"/>
    </xf>
    <xf numFmtId="14" fontId="0" fillId="0" borderId="0" xfId="0" applyNumberFormat="1"/>
    <xf numFmtId="0" fontId="4" fillId="0" borderId="0" xfId="66" applyFont="1"/>
    <xf numFmtId="0" fontId="18" fillId="0" borderId="0" xfId="0" applyFont="1" applyAlignment="1">
      <alignment wrapText="1"/>
    </xf>
    <xf numFmtId="0" fontId="18" fillId="17" borderId="1" xfId="0" applyFont="1" applyFill="1" applyBorder="1" applyAlignment="1">
      <alignment horizontal="center" vertical="center"/>
    </xf>
    <xf numFmtId="0" fontId="18" fillId="18" borderId="11" xfId="0" applyFont="1" applyFill="1" applyBorder="1" applyAlignment="1">
      <alignment horizontal="center" vertical="center" wrapText="1"/>
    </xf>
    <xf numFmtId="0" fontId="18" fillId="18" borderId="1" xfId="0" applyFont="1" applyFill="1" applyBorder="1" applyAlignment="1">
      <alignment horizontal="center" vertical="center"/>
    </xf>
    <xf numFmtId="0" fontId="18" fillId="14" borderId="1" xfId="0" applyFont="1" applyFill="1" applyBorder="1" applyAlignment="1">
      <alignment horizontal="center" vertical="center"/>
    </xf>
    <xf numFmtId="0" fontId="18" fillId="20" borderId="1" xfId="0" applyFont="1" applyFill="1" applyBorder="1" applyAlignment="1">
      <alignment horizontal="center" vertical="center" wrapText="1"/>
    </xf>
    <xf numFmtId="0" fontId="18" fillId="9" borderId="1" xfId="0" applyFont="1" applyFill="1" applyBorder="1" applyAlignment="1">
      <alignment horizontal="center" vertical="center"/>
    </xf>
    <xf numFmtId="0" fontId="18" fillId="62" borderId="1" xfId="0" applyFont="1" applyFill="1" applyBorder="1" applyAlignment="1">
      <alignment horizontal="center" vertical="center" wrapText="1"/>
    </xf>
    <xf numFmtId="0" fontId="3" fillId="0" borderId="0" xfId="49" applyFont="1"/>
    <xf numFmtId="0" fontId="18" fillId="2" borderId="11" xfId="0" applyFont="1" applyFill="1" applyBorder="1" applyAlignment="1">
      <alignment horizontal="center" vertical="center" wrapText="1"/>
    </xf>
    <xf numFmtId="0" fontId="18" fillId="19" borderId="1" xfId="0" applyFont="1" applyFill="1" applyBorder="1" applyAlignment="1">
      <alignment horizontal="center" vertical="center" wrapText="1"/>
    </xf>
    <xf numFmtId="0" fontId="18" fillId="6" borderId="1" xfId="0" applyFont="1" applyFill="1" applyBorder="1" applyAlignment="1">
      <alignment horizontal="left" vertical="center" wrapText="1"/>
    </xf>
    <xf numFmtId="0" fontId="18" fillId="19" borderId="1" xfId="0" applyFont="1" applyFill="1" applyBorder="1" applyAlignment="1">
      <alignment horizontal="left" vertical="center" wrapText="1"/>
    </xf>
    <xf numFmtId="0" fontId="18" fillId="19" borderId="1" xfId="0" applyFont="1" applyFill="1" applyBorder="1" applyAlignment="1">
      <alignment vertical="center" wrapText="1"/>
    </xf>
    <xf numFmtId="0" fontId="18" fillId="19" borderId="11" xfId="0" applyFont="1" applyFill="1" applyBorder="1" applyAlignment="1">
      <alignment vertical="center" wrapText="1"/>
    </xf>
    <xf numFmtId="0" fontId="18" fillId="19" borderId="13" xfId="0" applyFont="1" applyFill="1" applyBorder="1" applyAlignment="1">
      <alignment vertical="center" wrapText="1"/>
    </xf>
    <xf numFmtId="0" fontId="2" fillId="26" borderId="1" xfId="1" applyFont="1" applyFill="1" applyBorder="1"/>
    <xf numFmtId="0" fontId="18" fillId="26" borderId="1" xfId="0" applyFont="1" applyFill="1" applyBorder="1" applyAlignment="1">
      <alignment horizontal="center" wrapText="1"/>
    </xf>
    <xf numFmtId="0" fontId="18" fillId="5" borderId="1" xfId="0" applyFont="1" applyFill="1" applyBorder="1" applyAlignment="1">
      <alignment horizontal="center" vertical="center"/>
    </xf>
    <xf numFmtId="0" fontId="18" fillId="5" borderId="1" xfId="0" applyFont="1" applyFill="1" applyBorder="1" applyAlignment="1">
      <alignment horizontal="center" vertical="center"/>
    </xf>
    <xf numFmtId="0" fontId="20" fillId="13" borderId="3" xfId="0" applyFont="1" applyFill="1" applyBorder="1" applyAlignment="1">
      <alignment horizontal="center" vertical="center"/>
    </xf>
    <xf numFmtId="0" fontId="20" fillId="13" borderId="9" xfId="0" applyFont="1" applyFill="1" applyBorder="1" applyAlignment="1">
      <alignment horizontal="center" vertical="center"/>
    </xf>
    <xf numFmtId="0" fontId="20" fillId="13" borderId="10"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6" borderId="1" xfId="0" applyFill="1" applyBorder="1" applyAlignment="1">
      <alignment horizontal="center" vertical="center"/>
    </xf>
    <xf numFmtId="0" fontId="0" fillId="5" borderId="1" xfId="0" applyFill="1" applyBorder="1" applyAlignment="1">
      <alignment horizontal="center" vertical="center"/>
    </xf>
    <xf numFmtId="0" fontId="20" fillId="12" borderId="7" xfId="0" applyFont="1" applyFill="1" applyBorder="1" applyAlignment="1">
      <alignment horizontal="center" vertical="center"/>
    </xf>
    <xf numFmtId="0" fontId="20" fillId="12" borderId="0" xfId="0" applyFont="1" applyFill="1" applyBorder="1" applyAlignment="1">
      <alignment horizontal="center" vertical="center"/>
    </xf>
    <xf numFmtId="0" fontId="20" fillId="12" borderId="0" xfId="0" applyFont="1" applyFill="1" applyAlignment="1">
      <alignment horizontal="center" vertical="center"/>
    </xf>
    <xf numFmtId="0" fontId="0" fillId="16" borderId="1" xfId="0" applyFill="1" applyBorder="1" applyAlignment="1">
      <alignment horizontal="center" vertical="center"/>
    </xf>
    <xf numFmtId="0" fontId="23" fillId="5" borderId="1" xfId="0" applyFont="1" applyFill="1" applyBorder="1" applyAlignment="1">
      <alignment horizontal="center" vertical="center" wrapText="1"/>
    </xf>
    <xf numFmtId="0" fontId="0" fillId="14" borderId="1" xfId="0" applyFill="1" applyBorder="1" applyAlignment="1">
      <alignment horizontal="center" vertical="center"/>
    </xf>
    <xf numFmtId="0" fontId="18" fillId="5" borderId="1" xfId="0" applyFont="1" applyFill="1" applyBorder="1" applyAlignment="1">
      <alignment horizontal="center" vertical="center"/>
    </xf>
    <xf numFmtId="0" fontId="23" fillId="6" borderId="1" xfId="0" applyFont="1" applyFill="1" applyBorder="1" applyAlignment="1">
      <alignment horizontal="center" vertical="center" wrapText="1"/>
    </xf>
    <xf numFmtId="0" fontId="0" fillId="19" borderId="1" xfId="0" applyFill="1" applyBorder="1" applyAlignment="1">
      <alignment horizontal="center" vertical="center"/>
    </xf>
    <xf numFmtId="0" fontId="18" fillId="6" borderId="1" xfId="0" applyFont="1" applyFill="1" applyBorder="1" applyAlignment="1">
      <alignment horizontal="center" vertical="center"/>
    </xf>
    <xf numFmtId="0" fontId="0" fillId="5" borderId="1" xfId="0" applyFill="1" applyBorder="1" applyAlignment="1">
      <alignment horizontal="center" vertical="center" wrapText="1"/>
    </xf>
    <xf numFmtId="0" fontId="20" fillId="13" borderId="2" xfId="0" applyFont="1" applyFill="1" applyBorder="1" applyAlignment="1">
      <alignment horizontal="center" vertical="center"/>
    </xf>
    <xf numFmtId="0" fontId="20" fillId="13" borderId="8" xfId="0" applyFont="1" applyFill="1" applyBorder="1" applyAlignment="1">
      <alignment horizontal="center" vertical="center"/>
    </xf>
    <xf numFmtId="0" fontId="1" fillId="0" borderId="0" xfId="73"/>
    <xf numFmtId="0" fontId="18" fillId="4" borderId="11" xfId="0" applyFont="1" applyFill="1" applyBorder="1" applyAlignment="1">
      <alignment horizontal="left" vertical="center" wrapText="1"/>
    </xf>
    <xf numFmtId="0" fontId="18" fillId="26" borderId="1" xfId="0" applyFont="1" applyFill="1" applyBorder="1" applyAlignment="1">
      <alignment wrapText="1"/>
    </xf>
    <xf numFmtId="0" fontId="18" fillId="26" borderId="1" xfId="0" quotePrefix="1" applyFont="1" applyFill="1" applyBorder="1" applyAlignment="1">
      <alignment horizontal="center" vertical="center" wrapText="1"/>
    </xf>
    <xf numFmtId="0" fontId="1" fillId="26" borderId="1" xfId="1" applyFont="1" applyFill="1" applyBorder="1"/>
    <xf numFmtId="0" fontId="18" fillId="9" borderId="1" xfId="0" applyFont="1" applyFill="1" applyBorder="1" applyAlignment="1">
      <alignment vertical="center" wrapText="1"/>
    </xf>
  </cellXfs>
  <cellStyles count="74">
    <cellStyle name="20% - Accent1" xfId="19" builtinId="30" customBuiltin="1"/>
    <cellStyle name="20% - Accent1 2" xfId="53"/>
    <cellStyle name="20% - Accent2" xfId="23" builtinId="34" customBuiltin="1"/>
    <cellStyle name="20% - Accent2 2" xfId="55"/>
    <cellStyle name="20% - Accent3" xfId="27" builtinId="38" customBuiltin="1"/>
    <cellStyle name="20% - Accent3 2" xfId="57"/>
    <cellStyle name="20% - Accent4" xfId="31" builtinId="42" customBuiltin="1"/>
    <cellStyle name="20% - Accent4 2" xfId="59"/>
    <cellStyle name="20% - Accent5" xfId="35" builtinId="46" customBuiltin="1"/>
    <cellStyle name="20% - Accent5 2" xfId="61"/>
    <cellStyle name="20% - Accent6" xfId="39" builtinId="50" customBuiltin="1"/>
    <cellStyle name="20% - Accent6 2" xfId="63"/>
    <cellStyle name="40% - Accent1" xfId="20" builtinId="31" customBuiltin="1"/>
    <cellStyle name="40% - Accent1 2" xfId="54"/>
    <cellStyle name="40% - Accent2" xfId="24" builtinId="35" customBuiltin="1"/>
    <cellStyle name="40% - Accent2 2" xfId="56"/>
    <cellStyle name="40% - Accent3" xfId="28" builtinId="39" customBuiltin="1"/>
    <cellStyle name="40% - Accent3 2" xfId="58"/>
    <cellStyle name="40% - Accent4" xfId="32" builtinId="43" customBuiltin="1"/>
    <cellStyle name="40% - Accent4 2" xfId="60"/>
    <cellStyle name="40% - Accent5" xfId="36" builtinId="47" customBuiltin="1"/>
    <cellStyle name="40% - Accent5 2" xfId="62"/>
    <cellStyle name="40% - Accent6" xfId="40" builtinId="51" customBuiltin="1"/>
    <cellStyle name="40% - Accent6 2" xfId="64"/>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2" builtinId="22" customBuiltin="1"/>
    <cellStyle name="Check Cell" xfId="14" builtinId="23" customBuiltin="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65" builtinId="8"/>
    <cellStyle name="Input" xfId="10" builtinId="20" customBuiltin="1"/>
    <cellStyle name="Linked Cell" xfId="13" builtinId="24" customBuiltin="1"/>
    <cellStyle name="Neutral" xfId="9" builtinId="28" customBuiltin="1"/>
    <cellStyle name="Normal" xfId="0" builtinId="0"/>
    <cellStyle name="Normal 10" xfId="67"/>
    <cellStyle name="Normal 11" xfId="68"/>
    <cellStyle name="Normal 12" xfId="69"/>
    <cellStyle name="Normal 13" xfId="70"/>
    <cellStyle name="Normal 14" xfId="71"/>
    <cellStyle name="Normal 15" xfId="72"/>
    <cellStyle name="Normal 16" xfId="73"/>
    <cellStyle name="Normal 2" xfId="1"/>
    <cellStyle name="Normal 2 2" xfId="45"/>
    <cellStyle name="Normal 2 2 2" xfId="48"/>
    <cellStyle name="Normal 2 3" xfId="47"/>
    <cellStyle name="Normal 3" xfId="44"/>
    <cellStyle name="Normal 4" xfId="42"/>
    <cellStyle name="Normal 5" xfId="46"/>
    <cellStyle name="Normal 6" xfId="49"/>
    <cellStyle name="Normal 7" xfId="50"/>
    <cellStyle name="Normal 8" xfId="51"/>
    <cellStyle name="Normal 9" xfId="66"/>
    <cellStyle name="Note 2" xfId="43"/>
    <cellStyle name="Note 3" xfId="52"/>
    <cellStyle name="Output" xfId="11" builtinId="21" customBuiltin="1"/>
    <cellStyle name="Title" xfId="2" builtinId="15" customBuiltin="1"/>
    <cellStyle name="Total" xfId="17" builtinId="25" customBuiltin="1"/>
    <cellStyle name="Warning Text" xfId="15" builtinId="11" customBuiltin="1"/>
  </cellStyles>
  <dxfs count="1">
    <dxf>
      <font>
        <b/>
        <i val="0"/>
        <strike val="0"/>
        <condense val="0"/>
        <extend val="0"/>
        <outline val="0"/>
        <shadow val="0"/>
        <u val="none"/>
        <vertAlign val="baseline"/>
        <sz val="10"/>
        <color auto="1"/>
        <name val="Arial"/>
        <scheme val="none"/>
      </font>
    </dxf>
  </dxfs>
  <tableStyles count="0" defaultTableStyle="TableStyleMedium9" defaultPivotStyle="PivotStyleLight16"/>
  <colors>
    <mruColors>
      <color rgb="FFFF99CC"/>
      <color rgb="FFFF9966"/>
      <color rgb="FFFFFF99"/>
      <color rgb="FFFF00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hyperlink" Target="file:///\\CIDCSDFS01\EBU_Data01$\NACTGx\fngroup_css\ngc\hhpsys\EJRs\Readme.docx" TargetMode="External"/></Relationships>
</file>

<file path=xl/worksheets/sheet1.xml><?xml version="1.0" encoding="utf-8"?>
<worksheet xmlns="http://schemas.openxmlformats.org/spreadsheetml/2006/main" xmlns:r="http://schemas.openxmlformats.org/officeDocument/2006/relationships">
  <sheetPr codeName="Sheet1"/>
  <dimension ref="A1:IS305"/>
  <sheetViews>
    <sheetView tabSelected="1" zoomScale="80" zoomScaleNormal="80" workbookViewId="0">
      <pane ySplit="2" topLeftCell="A3" activePane="bottomLeft" state="frozen"/>
      <selection activeCell="B1" sqref="B1"/>
      <selection pane="bottomLeft"/>
    </sheetView>
  </sheetViews>
  <sheetFormatPr defaultRowHeight="12.75"/>
  <cols>
    <col min="1" max="1" width="10.85546875" style="13" customWidth="1"/>
    <col min="2" max="2" width="13.5703125" style="13" customWidth="1"/>
    <col min="3" max="5" width="9.28515625" style="1" customWidth="1"/>
    <col min="6" max="6" width="10" style="13" customWidth="1"/>
    <col min="7" max="7" width="9.28515625" style="13" hidden="1" customWidth="1"/>
    <col min="8" max="8" width="68.42578125" style="10" customWidth="1"/>
    <col min="9" max="9" width="14.7109375" style="13" customWidth="1"/>
    <col min="10" max="10" width="15.85546875" style="13" bestFit="1" customWidth="1"/>
    <col min="11" max="11" width="10.5703125" style="13" hidden="1" customWidth="1"/>
    <col min="12" max="12" width="13.140625" style="13" customWidth="1"/>
    <col min="13" max="13" width="8.7109375" style="1" hidden="1" customWidth="1"/>
    <col min="14" max="14" width="8.5703125" style="1" hidden="1" customWidth="1"/>
    <col min="15" max="15" width="13.140625" style="1" hidden="1" customWidth="1"/>
    <col min="16" max="16" width="10.85546875" style="1" hidden="1" customWidth="1"/>
    <col min="17" max="17" width="10.28515625" style="1" customWidth="1"/>
    <col min="18" max="18" width="13.42578125" style="1" customWidth="1"/>
    <col min="19" max="19" width="13.5703125" style="1" customWidth="1"/>
    <col min="20" max="20" width="18.42578125" style="1" customWidth="1"/>
    <col min="21" max="21" width="16" style="1" customWidth="1"/>
    <col min="22" max="22" width="15.42578125" style="1" customWidth="1"/>
    <col min="23" max="23" width="14.7109375" style="13" customWidth="1"/>
    <col min="24" max="24" width="13.28515625" style="13" bestFit="1" customWidth="1"/>
    <col min="25" max="25" width="15.28515625" style="13" bestFit="1" customWidth="1"/>
    <col min="26" max="26" width="12.140625" style="1" customWidth="1"/>
    <col min="27" max="27" width="11.140625" style="13" customWidth="1"/>
    <col min="28" max="28" width="15.28515625" style="13" bestFit="1" customWidth="1"/>
    <col min="29" max="30" width="12.42578125" style="1" customWidth="1"/>
    <col min="31" max="31" width="12.42578125" style="13" customWidth="1"/>
    <col min="32" max="33" width="17.5703125" style="1" customWidth="1"/>
    <col min="34" max="34" width="51.28515625" style="20" customWidth="1"/>
    <col min="35" max="16384" width="9.140625" style="1"/>
  </cols>
  <sheetData>
    <row r="1" spans="1:34">
      <c r="R1" s="353" t="s">
        <v>332</v>
      </c>
      <c r="S1" s="354"/>
      <c r="T1" s="354"/>
      <c r="U1" s="354"/>
      <c r="V1" s="354"/>
      <c r="W1" s="355"/>
      <c r="X1" s="347" t="s">
        <v>333</v>
      </c>
      <c r="Y1" s="348"/>
      <c r="Z1" s="348"/>
      <c r="AA1" s="348"/>
      <c r="AB1" s="348"/>
      <c r="AC1" s="348"/>
      <c r="AD1" s="348"/>
      <c r="AE1" s="349"/>
      <c r="AF1" s="51"/>
      <c r="AG1" s="51"/>
    </row>
    <row r="2" spans="1:34" s="14" customFormat="1" ht="87.75" customHeight="1">
      <c r="A2" s="12" t="s">
        <v>13</v>
      </c>
      <c r="B2" s="12" t="s">
        <v>408</v>
      </c>
      <c r="C2" s="12" t="s">
        <v>36</v>
      </c>
      <c r="D2" s="12" t="s">
        <v>37</v>
      </c>
      <c r="E2" s="12" t="s">
        <v>38</v>
      </c>
      <c r="F2" s="12" t="s">
        <v>40</v>
      </c>
      <c r="G2" s="12" t="s">
        <v>345</v>
      </c>
      <c r="H2" s="9" t="s">
        <v>39</v>
      </c>
      <c r="I2" s="12" t="s">
        <v>343</v>
      </c>
      <c r="J2" s="12" t="s">
        <v>267</v>
      </c>
      <c r="K2" s="12" t="s">
        <v>344</v>
      </c>
      <c r="L2" s="12" t="s">
        <v>2306</v>
      </c>
      <c r="M2" s="12" t="s">
        <v>41</v>
      </c>
      <c r="N2" s="12" t="s">
        <v>42</v>
      </c>
      <c r="O2" s="12" t="s">
        <v>44</v>
      </c>
      <c r="P2" s="12" t="s">
        <v>45</v>
      </c>
      <c r="Q2" s="12" t="s">
        <v>285</v>
      </c>
      <c r="R2" s="38" t="s">
        <v>36</v>
      </c>
      <c r="S2" s="38" t="s">
        <v>37</v>
      </c>
      <c r="T2" s="38" t="s">
        <v>331</v>
      </c>
      <c r="U2" s="38" t="s">
        <v>334</v>
      </c>
      <c r="V2" s="38" t="s">
        <v>341</v>
      </c>
      <c r="W2" s="38" t="s">
        <v>342</v>
      </c>
      <c r="X2" s="39" t="s">
        <v>335</v>
      </c>
      <c r="Y2" s="39" t="s">
        <v>336</v>
      </c>
      <c r="Z2" s="39" t="s">
        <v>339</v>
      </c>
      <c r="AA2" s="39" t="s">
        <v>337</v>
      </c>
      <c r="AB2" s="39" t="s">
        <v>338</v>
      </c>
      <c r="AC2" s="39" t="s">
        <v>340</v>
      </c>
      <c r="AD2" s="39" t="s">
        <v>341</v>
      </c>
      <c r="AE2" s="39" t="s">
        <v>342</v>
      </c>
      <c r="AF2" s="37" t="s">
        <v>329</v>
      </c>
      <c r="AG2" s="37" t="s">
        <v>412</v>
      </c>
      <c r="AH2" s="180" t="s">
        <v>269</v>
      </c>
    </row>
    <row r="3" spans="1:34" ht="76.5" customHeight="1">
      <c r="A3" s="53" t="s">
        <v>348</v>
      </c>
      <c r="B3" s="53" t="s">
        <v>409</v>
      </c>
      <c r="C3" s="43" t="s">
        <v>354</v>
      </c>
      <c r="D3" s="43" t="s">
        <v>355</v>
      </c>
      <c r="E3" s="43" t="s">
        <v>357</v>
      </c>
      <c r="F3" s="53" t="s">
        <v>382</v>
      </c>
      <c r="G3" s="53" t="s">
        <v>356</v>
      </c>
      <c r="H3" s="296" t="s">
        <v>352</v>
      </c>
      <c r="I3" s="53" t="s">
        <v>351</v>
      </c>
      <c r="J3" s="53" t="s">
        <v>387</v>
      </c>
      <c r="K3" s="53" t="s">
        <v>347</v>
      </c>
      <c r="L3" s="53" t="s">
        <v>277</v>
      </c>
      <c r="M3" s="43"/>
      <c r="N3" s="43"/>
      <c r="O3" s="43"/>
      <c r="P3" s="43"/>
      <c r="Q3" s="43">
        <v>38</v>
      </c>
      <c r="R3" s="43" t="str">
        <f t="shared" ref="R3:R18" si="0">C3</f>
        <v>SC40177</v>
      </c>
      <c r="S3" s="43" t="s">
        <v>355</v>
      </c>
      <c r="T3" s="43" t="s">
        <v>353</v>
      </c>
      <c r="U3" s="43">
        <v>4922520</v>
      </c>
      <c r="V3" s="312">
        <v>2652</v>
      </c>
      <c r="W3" s="53">
        <v>3426369</v>
      </c>
      <c r="X3" s="56" t="str">
        <f t="shared" ref="X3:X14" si="1">LEFT(F3,7)</f>
        <v>PJ04703</v>
      </c>
      <c r="Y3" s="56" t="s">
        <v>1819</v>
      </c>
      <c r="Z3" s="56">
        <v>4922576</v>
      </c>
      <c r="AA3" s="56" t="str">
        <f t="shared" ref="AA3:AA24" si="2">IF(AG3="VEE", RIGHT(F3,7),"n/a")</f>
        <v>n/a</v>
      </c>
      <c r="AB3" s="56" t="s">
        <v>376</v>
      </c>
      <c r="AC3" s="56" t="s">
        <v>376</v>
      </c>
      <c r="AD3" s="56">
        <v>4225</v>
      </c>
      <c r="AE3" s="56" t="s">
        <v>385</v>
      </c>
      <c r="AF3" s="43" t="s">
        <v>358</v>
      </c>
      <c r="AG3" s="43" t="s">
        <v>414</v>
      </c>
      <c r="AH3" s="55"/>
    </row>
    <row r="4" spans="1:34" ht="76.5" customHeight="1">
      <c r="A4" s="53" t="s">
        <v>348</v>
      </c>
      <c r="B4" s="53" t="s">
        <v>409</v>
      </c>
      <c r="C4" s="42" t="s">
        <v>361</v>
      </c>
      <c r="D4" s="42" t="s">
        <v>362</v>
      </c>
      <c r="E4" s="42" t="s">
        <v>364</v>
      </c>
      <c r="F4" s="56" t="s">
        <v>384</v>
      </c>
      <c r="G4" s="56" t="s">
        <v>363</v>
      </c>
      <c r="H4" s="54" t="s">
        <v>359</v>
      </c>
      <c r="I4" s="53" t="s">
        <v>351</v>
      </c>
      <c r="J4" s="53" t="s">
        <v>387</v>
      </c>
      <c r="K4" s="53" t="s">
        <v>347</v>
      </c>
      <c r="L4" s="53" t="s">
        <v>277</v>
      </c>
      <c r="M4" s="42"/>
      <c r="N4" s="42"/>
      <c r="O4" s="42"/>
      <c r="P4" s="42"/>
      <c r="Q4" s="42">
        <v>39</v>
      </c>
      <c r="R4" s="42" t="str">
        <f t="shared" si="0"/>
        <v>SC40178</v>
      </c>
      <c r="S4" s="42" t="s">
        <v>362</v>
      </c>
      <c r="T4" s="43" t="s">
        <v>360</v>
      </c>
      <c r="U4" s="42">
        <v>4922571</v>
      </c>
      <c r="V4" s="312">
        <v>2652</v>
      </c>
      <c r="W4" s="53">
        <v>3426369</v>
      </c>
      <c r="X4" s="56" t="str">
        <f t="shared" si="1"/>
        <v>PJ04704</v>
      </c>
      <c r="Y4" s="56" t="s">
        <v>1820</v>
      </c>
      <c r="Z4" s="56">
        <v>4922577</v>
      </c>
      <c r="AA4" s="56" t="str">
        <f t="shared" si="2"/>
        <v>n/a</v>
      </c>
      <c r="AB4" s="56" t="s">
        <v>376</v>
      </c>
      <c r="AC4" s="56" t="s">
        <v>376</v>
      </c>
      <c r="AD4" s="56">
        <v>4225</v>
      </c>
      <c r="AE4" s="56" t="s">
        <v>385</v>
      </c>
      <c r="AF4" s="43" t="s">
        <v>358</v>
      </c>
      <c r="AG4" s="43" t="s">
        <v>414</v>
      </c>
      <c r="AH4" s="44"/>
    </row>
    <row r="5" spans="1:34" ht="76.5" customHeight="1">
      <c r="A5" s="53" t="s">
        <v>348</v>
      </c>
      <c r="B5" s="53" t="s">
        <v>409</v>
      </c>
      <c r="C5" s="42" t="s">
        <v>366</v>
      </c>
      <c r="D5" s="42" t="s">
        <v>367</v>
      </c>
      <c r="E5" s="42" t="s">
        <v>369</v>
      </c>
      <c r="F5" s="56" t="s">
        <v>378</v>
      </c>
      <c r="G5" s="56" t="s">
        <v>368</v>
      </c>
      <c r="H5" s="54" t="s">
        <v>365</v>
      </c>
      <c r="I5" s="53" t="s">
        <v>351</v>
      </c>
      <c r="J5" s="53" t="s">
        <v>387</v>
      </c>
      <c r="K5" s="53" t="s">
        <v>347</v>
      </c>
      <c r="L5" s="53" t="s">
        <v>277</v>
      </c>
      <c r="M5" s="42"/>
      <c r="N5" s="42"/>
      <c r="O5" s="42"/>
      <c r="P5" s="42"/>
      <c r="Q5" s="42">
        <v>36</v>
      </c>
      <c r="R5" s="42" t="str">
        <f t="shared" si="0"/>
        <v>SC40179</v>
      </c>
      <c r="S5" s="42" t="s">
        <v>367</v>
      </c>
      <c r="T5" s="43" t="s">
        <v>507</v>
      </c>
      <c r="U5" s="42">
        <v>4922572</v>
      </c>
      <c r="V5" s="312">
        <v>2652</v>
      </c>
      <c r="W5" s="53">
        <v>3426369</v>
      </c>
      <c r="X5" s="56" t="str">
        <f t="shared" si="1"/>
        <v>PJ04701</v>
      </c>
      <c r="Y5" s="56" t="s">
        <v>1621</v>
      </c>
      <c r="Z5" s="56">
        <v>4922574</v>
      </c>
      <c r="AA5" s="56" t="str">
        <f t="shared" si="2"/>
        <v>n/a</v>
      </c>
      <c r="AB5" s="56" t="s">
        <v>376</v>
      </c>
      <c r="AC5" s="56" t="s">
        <v>376</v>
      </c>
      <c r="AD5" s="56">
        <v>4225</v>
      </c>
      <c r="AE5" s="56" t="s">
        <v>385</v>
      </c>
      <c r="AF5" s="43" t="s">
        <v>358</v>
      </c>
      <c r="AG5" s="43" t="s">
        <v>414</v>
      </c>
      <c r="AH5" s="44"/>
    </row>
    <row r="6" spans="1:34" ht="76.5" customHeight="1">
      <c r="A6" s="53" t="s">
        <v>348</v>
      </c>
      <c r="B6" s="53" t="s">
        <v>409</v>
      </c>
      <c r="C6" s="42" t="s">
        <v>372</v>
      </c>
      <c r="D6" s="42" t="s">
        <v>373</v>
      </c>
      <c r="E6" s="42" t="s">
        <v>375</v>
      </c>
      <c r="F6" s="56" t="s">
        <v>380</v>
      </c>
      <c r="G6" s="56" t="s">
        <v>374</v>
      </c>
      <c r="H6" s="54" t="s">
        <v>370</v>
      </c>
      <c r="I6" s="53" t="s">
        <v>351</v>
      </c>
      <c r="J6" s="53" t="s">
        <v>387</v>
      </c>
      <c r="K6" s="53" t="s">
        <v>347</v>
      </c>
      <c r="L6" s="53" t="s">
        <v>277</v>
      </c>
      <c r="M6" s="42"/>
      <c r="N6" s="42"/>
      <c r="O6" s="42"/>
      <c r="P6" s="42"/>
      <c r="Q6" s="42">
        <v>37</v>
      </c>
      <c r="R6" s="42" t="str">
        <f t="shared" si="0"/>
        <v>SC40180</v>
      </c>
      <c r="S6" s="42" t="s">
        <v>373</v>
      </c>
      <c r="T6" s="43" t="s">
        <v>371</v>
      </c>
      <c r="U6" s="42">
        <v>4922573</v>
      </c>
      <c r="V6" s="312">
        <v>2652</v>
      </c>
      <c r="W6" s="53">
        <v>3426369</v>
      </c>
      <c r="X6" s="56" t="str">
        <f t="shared" si="1"/>
        <v>PJ04702</v>
      </c>
      <c r="Y6" s="56" t="s">
        <v>1818</v>
      </c>
      <c r="Z6" s="56">
        <v>4922575</v>
      </c>
      <c r="AA6" s="56" t="str">
        <f t="shared" si="2"/>
        <v>n/a</v>
      </c>
      <c r="AB6" s="56" t="s">
        <v>376</v>
      </c>
      <c r="AC6" s="56" t="s">
        <v>376</v>
      </c>
      <c r="AD6" s="56">
        <v>4225</v>
      </c>
      <c r="AE6" s="56" t="s">
        <v>385</v>
      </c>
      <c r="AF6" s="43" t="s">
        <v>358</v>
      </c>
      <c r="AG6" s="43" t="s">
        <v>414</v>
      </c>
      <c r="AH6" s="44"/>
    </row>
    <row r="7" spans="1:34" ht="76.5" customHeight="1">
      <c r="A7" s="53" t="s">
        <v>348</v>
      </c>
      <c r="B7" s="53" t="s">
        <v>409</v>
      </c>
      <c r="C7" s="42" t="s">
        <v>389</v>
      </c>
      <c r="D7" s="42" t="s">
        <v>390</v>
      </c>
      <c r="E7" s="42" t="s">
        <v>357</v>
      </c>
      <c r="F7" s="56" t="s">
        <v>403</v>
      </c>
      <c r="G7" s="56" t="s">
        <v>391</v>
      </c>
      <c r="H7" s="54" t="s">
        <v>352</v>
      </c>
      <c r="I7" s="53" t="s">
        <v>351</v>
      </c>
      <c r="J7" s="53" t="s">
        <v>386</v>
      </c>
      <c r="K7" s="53" t="s">
        <v>347</v>
      </c>
      <c r="L7" s="53" t="s">
        <v>277</v>
      </c>
      <c r="M7" s="42"/>
      <c r="N7" s="42"/>
      <c r="O7" s="42"/>
      <c r="P7" s="42"/>
      <c r="Q7" s="42">
        <v>38</v>
      </c>
      <c r="R7" s="42" t="str">
        <f t="shared" si="0"/>
        <v>SC40260</v>
      </c>
      <c r="S7" s="42" t="s">
        <v>390</v>
      </c>
      <c r="T7" s="43" t="s">
        <v>388</v>
      </c>
      <c r="U7" s="42">
        <v>4970659</v>
      </c>
      <c r="V7" s="312">
        <v>2652</v>
      </c>
      <c r="W7" s="56">
        <v>4954429</v>
      </c>
      <c r="X7" s="56" t="str">
        <f t="shared" si="1"/>
        <v>PJ04705</v>
      </c>
      <c r="Y7" s="56" t="s">
        <v>1821</v>
      </c>
      <c r="Z7" s="56">
        <v>4998604</v>
      </c>
      <c r="AA7" s="56" t="str">
        <f t="shared" si="2"/>
        <v>n/a</v>
      </c>
      <c r="AB7" s="56" t="s">
        <v>376</v>
      </c>
      <c r="AC7" s="56" t="s">
        <v>376</v>
      </c>
      <c r="AD7" s="56">
        <v>4225</v>
      </c>
      <c r="AE7" s="56" t="s">
        <v>385</v>
      </c>
      <c r="AF7" s="43" t="s">
        <v>358</v>
      </c>
      <c r="AG7" s="43" t="s">
        <v>414</v>
      </c>
      <c r="AH7" s="44"/>
    </row>
    <row r="8" spans="1:34" ht="76.5" customHeight="1">
      <c r="A8" s="53" t="s">
        <v>348</v>
      </c>
      <c r="B8" s="53" t="s">
        <v>409</v>
      </c>
      <c r="C8" s="42" t="s">
        <v>392</v>
      </c>
      <c r="D8" s="42" t="s">
        <v>393</v>
      </c>
      <c r="E8" s="42" t="s">
        <v>364</v>
      </c>
      <c r="F8" s="56" t="s">
        <v>405</v>
      </c>
      <c r="G8" s="56" t="s">
        <v>394</v>
      </c>
      <c r="H8" s="54" t="s">
        <v>359</v>
      </c>
      <c r="I8" s="53" t="s">
        <v>351</v>
      </c>
      <c r="J8" s="53" t="s">
        <v>386</v>
      </c>
      <c r="K8" s="53" t="s">
        <v>347</v>
      </c>
      <c r="L8" s="53" t="s">
        <v>277</v>
      </c>
      <c r="M8" s="42"/>
      <c r="N8" s="42"/>
      <c r="O8" s="42"/>
      <c r="P8" s="42"/>
      <c r="Q8" s="42">
        <v>39</v>
      </c>
      <c r="R8" s="42" t="str">
        <f t="shared" si="0"/>
        <v>SC40261</v>
      </c>
      <c r="S8" s="42" t="s">
        <v>393</v>
      </c>
      <c r="T8" s="43" t="s">
        <v>518</v>
      </c>
      <c r="U8" s="42">
        <v>4970660</v>
      </c>
      <c r="V8" s="312">
        <v>2652</v>
      </c>
      <c r="W8" s="56">
        <v>4954429</v>
      </c>
      <c r="X8" s="56" t="str">
        <f t="shared" si="1"/>
        <v>PJ04706</v>
      </c>
      <c r="Y8" s="56" t="s">
        <v>1822</v>
      </c>
      <c r="Z8" s="56">
        <v>4998605</v>
      </c>
      <c r="AA8" s="56" t="str">
        <f t="shared" si="2"/>
        <v>n/a</v>
      </c>
      <c r="AB8" s="56" t="s">
        <v>376</v>
      </c>
      <c r="AC8" s="56" t="s">
        <v>376</v>
      </c>
      <c r="AD8" s="56">
        <v>4225</v>
      </c>
      <c r="AE8" s="56" t="s">
        <v>385</v>
      </c>
      <c r="AF8" s="43" t="s">
        <v>358</v>
      </c>
      <c r="AG8" s="43" t="s">
        <v>414</v>
      </c>
      <c r="AH8" s="44"/>
    </row>
    <row r="9" spans="1:34" ht="76.5" customHeight="1">
      <c r="A9" s="53" t="s">
        <v>348</v>
      </c>
      <c r="B9" s="53" t="s">
        <v>409</v>
      </c>
      <c r="C9" s="42" t="s">
        <v>395</v>
      </c>
      <c r="D9" s="42" t="s">
        <v>396</v>
      </c>
      <c r="E9" s="42" t="s">
        <v>369</v>
      </c>
      <c r="F9" s="56" t="s">
        <v>407</v>
      </c>
      <c r="G9" s="56" t="s">
        <v>397</v>
      </c>
      <c r="H9" s="54" t="s">
        <v>365</v>
      </c>
      <c r="I9" s="53" t="s">
        <v>351</v>
      </c>
      <c r="J9" s="53" t="s">
        <v>386</v>
      </c>
      <c r="K9" s="53" t="s">
        <v>347</v>
      </c>
      <c r="L9" s="53" t="s">
        <v>277</v>
      </c>
      <c r="M9" s="42"/>
      <c r="N9" s="42"/>
      <c r="O9" s="42"/>
      <c r="P9" s="42"/>
      <c r="Q9" s="42">
        <v>36</v>
      </c>
      <c r="R9" s="42" t="str">
        <f t="shared" si="0"/>
        <v>SC40262</v>
      </c>
      <c r="S9" s="42" t="s">
        <v>396</v>
      </c>
      <c r="T9" s="43" t="s">
        <v>519</v>
      </c>
      <c r="U9" s="42">
        <v>4970661</v>
      </c>
      <c r="V9" s="312">
        <v>2652</v>
      </c>
      <c r="W9" s="56">
        <v>4954429</v>
      </c>
      <c r="X9" s="56" t="str">
        <f t="shared" si="1"/>
        <v>PJ04707</v>
      </c>
      <c r="Y9" s="56" t="s">
        <v>1823</v>
      </c>
      <c r="Z9" s="56">
        <v>4998606</v>
      </c>
      <c r="AA9" s="56" t="str">
        <f t="shared" si="2"/>
        <v>n/a</v>
      </c>
      <c r="AB9" s="56" t="s">
        <v>376</v>
      </c>
      <c r="AC9" s="56" t="s">
        <v>376</v>
      </c>
      <c r="AD9" s="56">
        <v>4225</v>
      </c>
      <c r="AE9" s="56" t="s">
        <v>385</v>
      </c>
      <c r="AF9" s="43" t="s">
        <v>358</v>
      </c>
      <c r="AG9" s="43" t="s">
        <v>414</v>
      </c>
      <c r="AH9" s="44"/>
    </row>
    <row r="10" spans="1:34" ht="76.5" customHeight="1">
      <c r="A10" s="53" t="s">
        <v>348</v>
      </c>
      <c r="B10" s="53" t="s">
        <v>409</v>
      </c>
      <c r="C10" s="42" t="s">
        <v>399</v>
      </c>
      <c r="D10" s="42" t="s">
        <v>400</v>
      </c>
      <c r="E10" s="42" t="s">
        <v>375</v>
      </c>
      <c r="F10" s="56" t="s">
        <v>411</v>
      </c>
      <c r="G10" s="56" t="s">
        <v>401</v>
      </c>
      <c r="H10" s="54" t="s">
        <v>370</v>
      </c>
      <c r="I10" s="53" t="s">
        <v>351</v>
      </c>
      <c r="J10" s="53" t="s">
        <v>386</v>
      </c>
      <c r="K10" s="53" t="s">
        <v>347</v>
      </c>
      <c r="L10" s="53" t="s">
        <v>277</v>
      </c>
      <c r="M10" s="42"/>
      <c r="N10" s="42"/>
      <c r="O10" s="42"/>
      <c r="P10" s="42"/>
      <c r="Q10" s="42">
        <v>37</v>
      </c>
      <c r="R10" s="42" t="str">
        <f t="shared" si="0"/>
        <v>SC40263</v>
      </c>
      <c r="S10" s="42" t="s">
        <v>400</v>
      </c>
      <c r="T10" s="43" t="s">
        <v>398</v>
      </c>
      <c r="U10" s="42">
        <v>4970662</v>
      </c>
      <c r="V10" s="312">
        <v>2652</v>
      </c>
      <c r="W10" s="56">
        <v>4954429</v>
      </c>
      <c r="X10" s="56" t="str">
        <f t="shared" si="1"/>
        <v>PJ04708</v>
      </c>
      <c r="Y10" s="56" t="s">
        <v>1824</v>
      </c>
      <c r="Z10" s="56">
        <v>4998607</v>
      </c>
      <c r="AA10" s="56" t="str">
        <f t="shared" si="2"/>
        <v>n/a</v>
      </c>
      <c r="AB10" s="56" t="s">
        <v>376</v>
      </c>
      <c r="AC10" s="56" t="s">
        <v>376</v>
      </c>
      <c r="AD10" s="56">
        <v>4225</v>
      </c>
      <c r="AE10" s="56" t="s">
        <v>385</v>
      </c>
      <c r="AF10" s="43" t="s">
        <v>358</v>
      </c>
      <c r="AG10" s="43" t="s">
        <v>414</v>
      </c>
      <c r="AH10" s="44"/>
    </row>
    <row r="11" spans="1:34" ht="76.5" customHeight="1">
      <c r="A11" s="53" t="s">
        <v>348</v>
      </c>
      <c r="B11" s="53" t="s">
        <v>409</v>
      </c>
      <c r="C11" s="42" t="s">
        <v>416</v>
      </c>
      <c r="D11" s="42" t="s">
        <v>417</v>
      </c>
      <c r="E11" s="42" t="s">
        <v>419</v>
      </c>
      <c r="F11" s="56" t="s">
        <v>435</v>
      </c>
      <c r="G11" s="56" t="s">
        <v>418</v>
      </c>
      <c r="H11" s="54" t="s">
        <v>352</v>
      </c>
      <c r="I11" s="53" t="s">
        <v>415</v>
      </c>
      <c r="J11" s="53" t="s">
        <v>387</v>
      </c>
      <c r="K11" s="53" t="s">
        <v>347</v>
      </c>
      <c r="L11" s="53" t="s">
        <v>277</v>
      </c>
      <c r="M11" s="42"/>
      <c r="N11" s="42"/>
      <c r="O11" s="42"/>
      <c r="P11" s="42"/>
      <c r="Q11" s="42">
        <v>38</v>
      </c>
      <c r="R11" s="42" t="str">
        <f t="shared" si="0"/>
        <v>SC40408</v>
      </c>
      <c r="S11" s="42" t="s">
        <v>417</v>
      </c>
      <c r="T11" s="42" t="s">
        <v>520</v>
      </c>
      <c r="U11" s="42">
        <v>4970667</v>
      </c>
      <c r="V11" s="312">
        <v>2652</v>
      </c>
      <c r="W11" s="56">
        <v>4954429</v>
      </c>
      <c r="X11" s="56" t="str">
        <f t="shared" si="1"/>
        <v>PJ04709</v>
      </c>
      <c r="Y11" s="56" t="s">
        <v>1825</v>
      </c>
      <c r="Z11" s="56">
        <v>4970671</v>
      </c>
      <c r="AA11" s="56" t="str">
        <f t="shared" si="2"/>
        <v>n/a</v>
      </c>
      <c r="AB11" s="56" t="s">
        <v>376</v>
      </c>
      <c r="AC11" s="56" t="s">
        <v>376</v>
      </c>
      <c r="AD11" s="56">
        <v>4225</v>
      </c>
      <c r="AE11" s="56" t="s">
        <v>385</v>
      </c>
      <c r="AF11" s="43" t="s">
        <v>358</v>
      </c>
      <c r="AG11" s="43" t="s">
        <v>414</v>
      </c>
      <c r="AH11" s="44"/>
    </row>
    <row r="12" spans="1:34" ht="76.5" customHeight="1">
      <c r="A12" s="53" t="s">
        <v>348</v>
      </c>
      <c r="B12" s="53" t="s">
        <v>409</v>
      </c>
      <c r="C12" s="42" t="s">
        <v>420</v>
      </c>
      <c r="D12" s="42" t="s">
        <v>421</v>
      </c>
      <c r="E12" s="42" t="s">
        <v>423</v>
      </c>
      <c r="F12" s="56" t="s">
        <v>437</v>
      </c>
      <c r="G12" s="56" t="s">
        <v>422</v>
      </c>
      <c r="H12" s="54" t="s">
        <v>359</v>
      </c>
      <c r="I12" s="53" t="s">
        <v>415</v>
      </c>
      <c r="J12" s="53" t="s">
        <v>387</v>
      </c>
      <c r="K12" s="53" t="s">
        <v>347</v>
      </c>
      <c r="L12" s="53" t="s">
        <v>277</v>
      </c>
      <c r="M12" s="42"/>
      <c r="N12" s="42"/>
      <c r="O12" s="42"/>
      <c r="P12" s="42"/>
      <c r="Q12" s="42">
        <v>39</v>
      </c>
      <c r="R12" s="42" t="str">
        <f t="shared" si="0"/>
        <v>SC40409</v>
      </c>
      <c r="S12" s="42" t="s">
        <v>421</v>
      </c>
      <c r="T12" s="43" t="s">
        <v>521</v>
      </c>
      <c r="U12" s="42">
        <v>4970668</v>
      </c>
      <c r="V12" s="312">
        <v>2652</v>
      </c>
      <c r="W12" s="56">
        <v>4954429</v>
      </c>
      <c r="X12" s="56" t="str">
        <f t="shared" si="1"/>
        <v>PJ04710</v>
      </c>
      <c r="Y12" s="56" t="s">
        <v>1826</v>
      </c>
      <c r="Z12" s="56">
        <v>4970672</v>
      </c>
      <c r="AA12" s="56" t="str">
        <f t="shared" si="2"/>
        <v>n/a</v>
      </c>
      <c r="AB12" s="56" t="s">
        <v>376</v>
      </c>
      <c r="AC12" s="56" t="s">
        <v>376</v>
      </c>
      <c r="AD12" s="56">
        <v>4225</v>
      </c>
      <c r="AE12" s="56" t="s">
        <v>385</v>
      </c>
      <c r="AF12" s="43" t="s">
        <v>358</v>
      </c>
      <c r="AG12" s="43" t="s">
        <v>414</v>
      </c>
      <c r="AH12" s="44"/>
    </row>
    <row r="13" spans="1:34" ht="76.5" customHeight="1">
      <c r="A13" s="53" t="s">
        <v>348</v>
      </c>
      <c r="B13" s="53" t="s">
        <v>409</v>
      </c>
      <c r="C13" s="42" t="s">
        <v>425</v>
      </c>
      <c r="D13" s="42" t="s">
        <v>426</v>
      </c>
      <c r="E13" s="42" t="s">
        <v>428</v>
      </c>
      <c r="F13" s="56" t="s">
        <v>439</v>
      </c>
      <c r="G13" s="56" t="s">
        <v>427</v>
      </c>
      <c r="H13" s="54" t="s">
        <v>365</v>
      </c>
      <c r="I13" s="53" t="s">
        <v>415</v>
      </c>
      <c r="J13" s="53" t="s">
        <v>387</v>
      </c>
      <c r="K13" s="53" t="s">
        <v>347</v>
      </c>
      <c r="L13" s="53" t="s">
        <v>277</v>
      </c>
      <c r="M13" s="42"/>
      <c r="N13" s="42"/>
      <c r="O13" s="42"/>
      <c r="P13" s="42"/>
      <c r="Q13" s="42">
        <v>36</v>
      </c>
      <c r="R13" s="42" t="str">
        <f t="shared" si="0"/>
        <v>SC40410</v>
      </c>
      <c r="S13" s="42" t="s">
        <v>426</v>
      </c>
      <c r="T13" s="43" t="s">
        <v>424</v>
      </c>
      <c r="U13" s="42">
        <v>4970669</v>
      </c>
      <c r="V13" s="312">
        <v>2652</v>
      </c>
      <c r="W13" s="56">
        <v>4954429</v>
      </c>
      <c r="X13" s="56" t="str">
        <f t="shared" si="1"/>
        <v>PJ04711</v>
      </c>
      <c r="Y13" s="56" t="s">
        <v>1827</v>
      </c>
      <c r="Z13" s="56">
        <v>4970673</v>
      </c>
      <c r="AA13" s="56" t="str">
        <f t="shared" si="2"/>
        <v>n/a</v>
      </c>
      <c r="AB13" s="56" t="s">
        <v>376</v>
      </c>
      <c r="AC13" s="56" t="s">
        <v>376</v>
      </c>
      <c r="AD13" s="56">
        <v>4225</v>
      </c>
      <c r="AE13" s="56" t="s">
        <v>385</v>
      </c>
      <c r="AF13" s="43" t="s">
        <v>358</v>
      </c>
      <c r="AG13" s="43" t="s">
        <v>414</v>
      </c>
      <c r="AH13" s="44"/>
    </row>
    <row r="14" spans="1:34" ht="76.5" customHeight="1">
      <c r="A14" s="53" t="s">
        <v>348</v>
      </c>
      <c r="B14" s="53" t="s">
        <v>409</v>
      </c>
      <c r="C14" s="42" t="s">
        <v>430</v>
      </c>
      <c r="D14" s="42" t="s">
        <v>431</v>
      </c>
      <c r="E14" s="42" t="s">
        <v>433</v>
      </c>
      <c r="F14" s="56" t="s">
        <v>441</v>
      </c>
      <c r="G14" s="56" t="s">
        <v>432</v>
      </c>
      <c r="H14" s="54" t="s">
        <v>370</v>
      </c>
      <c r="I14" s="53" t="s">
        <v>415</v>
      </c>
      <c r="J14" s="53" t="s">
        <v>387</v>
      </c>
      <c r="K14" s="53" t="s">
        <v>347</v>
      </c>
      <c r="L14" s="53" t="s">
        <v>277</v>
      </c>
      <c r="M14" s="42"/>
      <c r="N14" s="42"/>
      <c r="O14" s="42"/>
      <c r="P14" s="42"/>
      <c r="Q14" s="42">
        <v>37</v>
      </c>
      <c r="R14" s="42" t="str">
        <f t="shared" si="0"/>
        <v>SC40411</v>
      </c>
      <c r="S14" s="42" t="s">
        <v>431</v>
      </c>
      <c r="T14" s="43" t="s">
        <v>429</v>
      </c>
      <c r="U14" s="42">
        <v>4970670</v>
      </c>
      <c r="V14" s="312">
        <v>2652</v>
      </c>
      <c r="W14" s="56">
        <v>4954429</v>
      </c>
      <c r="X14" s="56" t="str">
        <f t="shared" si="1"/>
        <v>PJ04712</v>
      </c>
      <c r="Y14" s="56" t="s">
        <v>1828</v>
      </c>
      <c r="Z14" s="56">
        <v>4970674</v>
      </c>
      <c r="AA14" s="56" t="str">
        <f t="shared" si="2"/>
        <v>n/a</v>
      </c>
      <c r="AB14" s="56" t="s">
        <v>376</v>
      </c>
      <c r="AC14" s="56" t="s">
        <v>376</v>
      </c>
      <c r="AD14" s="56">
        <v>4225</v>
      </c>
      <c r="AE14" s="56" t="s">
        <v>385</v>
      </c>
      <c r="AF14" s="43" t="s">
        <v>358</v>
      </c>
      <c r="AG14" s="43" t="s">
        <v>414</v>
      </c>
      <c r="AH14" s="44"/>
    </row>
    <row r="15" spans="1:34" ht="76.5" customHeight="1">
      <c r="A15" s="53" t="s">
        <v>348</v>
      </c>
      <c r="B15" s="53" t="s">
        <v>409</v>
      </c>
      <c r="C15" s="42" t="s">
        <v>442</v>
      </c>
      <c r="D15" s="42" t="s">
        <v>446</v>
      </c>
      <c r="E15" s="42" t="s">
        <v>452</v>
      </c>
      <c r="F15" s="56" t="s">
        <v>1449</v>
      </c>
      <c r="G15" s="56" t="s">
        <v>451</v>
      </c>
      <c r="H15" s="54" t="s">
        <v>352</v>
      </c>
      <c r="I15" s="53" t="s">
        <v>415</v>
      </c>
      <c r="J15" s="53" t="s">
        <v>386</v>
      </c>
      <c r="K15" s="53" t="s">
        <v>347</v>
      </c>
      <c r="L15" s="313" t="s">
        <v>277</v>
      </c>
      <c r="M15" s="42"/>
      <c r="N15" s="42"/>
      <c r="O15" s="42"/>
      <c r="P15" s="42"/>
      <c r="Q15" s="42">
        <v>38</v>
      </c>
      <c r="R15" s="42" t="str">
        <f t="shared" si="0"/>
        <v>SC40412</v>
      </c>
      <c r="S15" s="42" t="s">
        <v>446</v>
      </c>
      <c r="T15" s="42" t="s">
        <v>511</v>
      </c>
      <c r="U15" s="43" t="s">
        <v>376</v>
      </c>
      <c r="V15" s="312">
        <v>2652</v>
      </c>
      <c r="W15" s="53" t="s">
        <v>450</v>
      </c>
      <c r="X15" s="56" t="str">
        <f>F15</f>
        <v>PJ04721
(PJ04713)</v>
      </c>
      <c r="Y15" s="56" t="s">
        <v>1565</v>
      </c>
      <c r="Z15" s="56">
        <v>2873634</v>
      </c>
      <c r="AA15" s="56" t="str">
        <f t="shared" si="2"/>
        <v>n/a</v>
      </c>
      <c r="AB15" s="56" t="s">
        <v>376</v>
      </c>
      <c r="AC15" s="56" t="s">
        <v>376</v>
      </c>
      <c r="AD15" s="56">
        <v>4225</v>
      </c>
      <c r="AE15" s="56" t="s">
        <v>385</v>
      </c>
      <c r="AF15" s="43" t="s">
        <v>358</v>
      </c>
      <c r="AG15" s="43" t="s">
        <v>414</v>
      </c>
      <c r="AH15" s="44"/>
    </row>
    <row r="16" spans="1:34" ht="76.5" customHeight="1">
      <c r="A16" s="53" t="s">
        <v>348</v>
      </c>
      <c r="B16" s="53" t="s">
        <v>409</v>
      </c>
      <c r="C16" s="42" t="s">
        <v>443</v>
      </c>
      <c r="D16" s="42" t="s">
        <v>447</v>
      </c>
      <c r="E16" s="42" t="s">
        <v>454</v>
      </c>
      <c r="F16" s="56" t="s">
        <v>1450</v>
      </c>
      <c r="G16" s="56" t="s">
        <v>453</v>
      </c>
      <c r="H16" s="54" t="s">
        <v>359</v>
      </c>
      <c r="I16" s="53" t="s">
        <v>415</v>
      </c>
      <c r="J16" s="53" t="s">
        <v>386</v>
      </c>
      <c r="K16" s="53" t="s">
        <v>347</v>
      </c>
      <c r="L16" s="313" t="s">
        <v>277</v>
      </c>
      <c r="M16" s="42"/>
      <c r="N16" s="42"/>
      <c r="O16" s="42"/>
      <c r="P16" s="42"/>
      <c r="Q16" s="42">
        <v>39</v>
      </c>
      <c r="R16" s="42" t="str">
        <f t="shared" si="0"/>
        <v>SC40413</v>
      </c>
      <c r="S16" s="42" t="s">
        <v>447</v>
      </c>
      <c r="T16" s="42" t="s">
        <v>513</v>
      </c>
      <c r="U16" s="43" t="s">
        <v>376</v>
      </c>
      <c r="V16" s="42">
        <v>2652</v>
      </c>
      <c r="W16" s="53" t="s">
        <v>450</v>
      </c>
      <c r="X16" s="56" t="str">
        <f>F16</f>
        <v>PJ04722
(PJ04714)</v>
      </c>
      <c r="Y16" s="56" t="s">
        <v>1566</v>
      </c>
      <c r="Z16" s="56">
        <v>2873635</v>
      </c>
      <c r="AA16" s="56" t="str">
        <f t="shared" si="2"/>
        <v>n/a</v>
      </c>
      <c r="AB16" s="56" t="s">
        <v>376</v>
      </c>
      <c r="AC16" s="56" t="s">
        <v>376</v>
      </c>
      <c r="AD16" s="56">
        <v>4225</v>
      </c>
      <c r="AE16" s="56" t="s">
        <v>385</v>
      </c>
      <c r="AF16" s="43" t="s">
        <v>358</v>
      </c>
      <c r="AG16" s="43" t="s">
        <v>414</v>
      </c>
      <c r="AH16" s="44"/>
    </row>
    <row r="17" spans="1:34" ht="76.5" customHeight="1">
      <c r="A17" s="53" t="s">
        <v>348</v>
      </c>
      <c r="B17" s="53" t="s">
        <v>409</v>
      </c>
      <c r="C17" s="42" t="s">
        <v>444</v>
      </c>
      <c r="D17" s="42" t="s">
        <v>448</v>
      </c>
      <c r="E17" s="42" t="s">
        <v>456</v>
      </c>
      <c r="F17" s="56" t="s">
        <v>1451</v>
      </c>
      <c r="G17" s="56" t="s">
        <v>455</v>
      </c>
      <c r="H17" s="54" t="s">
        <v>365</v>
      </c>
      <c r="I17" s="53" t="s">
        <v>415</v>
      </c>
      <c r="J17" s="53" t="s">
        <v>386</v>
      </c>
      <c r="K17" s="53" t="s">
        <v>347</v>
      </c>
      <c r="L17" s="313" t="s">
        <v>277</v>
      </c>
      <c r="M17" s="42"/>
      <c r="N17" s="42"/>
      <c r="O17" s="42"/>
      <c r="P17" s="42"/>
      <c r="Q17" s="42">
        <v>36</v>
      </c>
      <c r="R17" s="42" t="str">
        <f t="shared" si="0"/>
        <v>SC40414</v>
      </c>
      <c r="S17" s="42" t="s">
        <v>448</v>
      </c>
      <c r="T17" s="43" t="s">
        <v>514</v>
      </c>
      <c r="U17" s="43" t="s">
        <v>376</v>
      </c>
      <c r="V17" s="42">
        <v>2652</v>
      </c>
      <c r="W17" s="53" t="s">
        <v>450</v>
      </c>
      <c r="X17" s="56" t="str">
        <f t="shared" ref="X17:X18" si="3">F17</f>
        <v>PJ04723
(PJ04715)</v>
      </c>
      <c r="Y17" s="56" t="s">
        <v>1622</v>
      </c>
      <c r="Z17" s="56">
        <v>2873636</v>
      </c>
      <c r="AA17" s="56" t="str">
        <f t="shared" si="2"/>
        <v>n/a</v>
      </c>
      <c r="AB17" s="56" t="s">
        <v>376</v>
      </c>
      <c r="AC17" s="56" t="s">
        <v>376</v>
      </c>
      <c r="AD17" s="56">
        <v>4225</v>
      </c>
      <c r="AE17" s="56" t="s">
        <v>385</v>
      </c>
      <c r="AF17" s="43" t="s">
        <v>358</v>
      </c>
      <c r="AG17" s="43" t="s">
        <v>414</v>
      </c>
      <c r="AH17" s="44"/>
    </row>
    <row r="18" spans="1:34" ht="76.5" customHeight="1">
      <c r="A18" s="53" t="s">
        <v>348</v>
      </c>
      <c r="B18" s="53" t="s">
        <v>409</v>
      </c>
      <c r="C18" s="42" t="s">
        <v>445</v>
      </c>
      <c r="D18" s="42" t="s">
        <v>449</v>
      </c>
      <c r="E18" s="42" t="s">
        <v>458</v>
      </c>
      <c r="F18" s="56" t="s">
        <v>1452</v>
      </c>
      <c r="G18" s="56" t="s">
        <v>457</v>
      </c>
      <c r="H18" s="54" t="s">
        <v>370</v>
      </c>
      <c r="I18" s="53" t="s">
        <v>415</v>
      </c>
      <c r="J18" s="53" t="s">
        <v>386</v>
      </c>
      <c r="K18" s="53" t="s">
        <v>347</v>
      </c>
      <c r="L18" s="313" t="s">
        <v>277</v>
      </c>
      <c r="M18" s="42"/>
      <c r="N18" s="42"/>
      <c r="O18" s="42"/>
      <c r="P18" s="42"/>
      <c r="Q18" s="42">
        <v>37</v>
      </c>
      <c r="R18" s="42" t="str">
        <f t="shared" si="0"/>
        <v>SC40415</v>
      </c>
      <c r="S18" s="42" t="s">
        <v>449</v>
      </c>
      <c r="T18" s="42" t="s">
        <v>516</v>
      </c>
      <c r="U18" s="43" t="s">
        <v>376</v>
      </c>
      <c r="V18" s="42">
        <v>2652</v>
      </c>
      <c r="W18" s="53" t="s">
        <v>450</v>
      </c>
      <c r="X18" s="56" t="str">
        <f t="shared" si="3"/>
        <v>PJ04724
(PJ04716)</v>
      </c>
      <c r="Y18" s="56" t="s">
        <v>1623</v>
      </c>
      <c r="Z18" s="56">
        <v>2873637</v>
      </c>
      <c r="AA18" s="56" t="str">
        <f t="shared" si="2"/>
        <v>n/a</v>
      </c>
      <c r="AB18" s="56" t="s">
        <v>376</v>
      </c>
      <c r="AC18" s="56" t="s">
        <v>376</v>
      </c>
      <c r="AD18" s="56">
        <v>4225</v>
      </c>
      <c r="AE18" s="56" t="s">
        <v>385</v>
      </c>
      <c r="AF18" s="43" t="s">
        <v>358</v>
      </c>
      <c r="AG18" s="43" t="s">
        <v>414</v>
      </c>
      <c r="AH18" s="44"/>
    </row>
    <row r="19" spans="1:34" ht="76.5">
      <c r="A19" s="53" t="s">
        <v>348</v>
      </c>
      <c r="B19" s="53" t="s">
        <v>409</v>
      </c>
      <c r="C19" s="53" t="s">
        <v>1685</v>
      </c>
      <c r="D19" s="53" t="s">
        <v>1686</v>
      </c>
      <c r="E19" s="53" t="s">
        <v>1697</v>
      </c>
      <c r="F19" s="53" t="s">
        <v>1703</v>
      </c>
      <c r="H19" s="54" t="s">
        <v>352</v>
      </c>
      <c r="I19" s="53" t="s">
        <v>415</v>
      </c>
      <c r="J19" s="53" t="s">
        <v>386</v>
      </c>
      <c r="K19" s="53"/>
      <c r="L19" s="53" t="s">
        <v>275</v>
      </c>
      <c r="M19" s="53"/>
      <c r="N19" s="53"/>
      <c r="O19" s="53"/>
      <c r="P19" s="53"/>
      <c r="Q19" s="42">
        <v>38</v>
      </c>
      <c r="R19" s="53" t="str">
        <f t="shared" ref="R19:S24" si="4">C19</f>
        <v>SC40574</v>
      </c>
      <c r="S19" s="53" t="str">
        <f t="shared" si="4"/>
        <v>DO04846</v>
      </c>
      <c r="T19" s="53" t="s">
        <v>1709</v>
      </c>
      <c r="U19" s="53" t="s">
        <v>294</v>
      </c>
      <c r="V19" s="313">
        <v>2690</v>
      </c>
      <c r="W19" s="53" t="s">
        <v>1164</v>
      </c>
      <c r="X19" s="53" t="str">
        <f t="shared" ref="X19:X24" si="5">LEFT(F19,7)</f>
        <v>PJ04729</v>
      </c>
      <c r="Y19" s="56" t="s">
        <v>1715</v>
      </c>
      <c r="Z19" s="56" t="s">
        <v>294</v>
      </c>
      <c r="AA19" s="56" t="str">
        <f t="shared" si="2"/>
        <v>n/a</v>
      </c>
      <c r="AB19" s="56" t="s">
        <v>376</v>
      </c>
      <c r="AC19" s="56" t="s">
        <v>376</v>
      </c>
      <c r="AD19" s="56">
        <v>4352</v>
      </c>
      <c r="AE19" s="56">
        <v>4954431</v>
      </c>
      <c r="AF19" s="43" t="s">
        <v>358</v>
      </c>
      <c r="AG19" s="43" t="s">
        <v>414</v>
      </c>
      <c r="AH19" s="53"/>
    </row>
    <row r="20" spans="1:34" ht="76.5">
      <c r="A20" s="53" t="s">
        <v>348</v>
      </c>
      <c r="B20" s="53" t="s">
        <v>409</v>
      </c>
      <c r="C20" s="53" t="s">
        <v>1687</v>
      </c>
      <c r="D20" s="53" t="s">
        <v>1688</v>
      </c>
      <c r="E20" s="53" t="s">
        <v>1698</v>
      </c>
      <c r="F20" s="53" t="s">
        <v>1704</v>
      </c>
      <c r="H20" s="54" t="s">
        <v>352</v>
      </c>
      <c r="I20" s="53" t="s">
        <v>415</v>
      </c>
      <c r="J20" s="53" t="s">
        <v>386</v>
      </c>
      <c r="K20" s="53"/>
      <c r="L20" s="53" t="s">
        <v>275</v>
      </c>
      <c r="M20" s="53"/>
      <c r="N20" s="53"/>
      <c r="O20" s="53"/>
      <c r="P20" s="53"/>
      <c r="Q20" s="42">
        <v>38</v>
      </c>
      <c r="R20" s="53" t="str">
        <f t="shared" si="4"/>
        <v>SC40556</v>
      </c>
      <c r="S20" s="53" t="str">
        <f t="shared" si="4"/>
        <v>DO04829</v>
      </c>
      <c r="T20" s="53" t="s">
        <v>1710</v>
      </c>
      <c r="U20" s="53" t="s">
        <v>294</v>
      </c>
      <c r="V20" s="313">
        <v>2690</v>
      </c>
      <c r="W20" s="53">
        <v>4954429</v>
      </c>
      <c r="X20" s="53" t="str">
        <f t="shared" si="5"/>
        <v>PJ04725</v>
      </c>
      <c r="Y20" s="56" t="s">
        <v>1716</v>
      </c>
      <c r="Z20" s="56" t="s">
        <v>294</v>
      </c>
      <c r="AA20" s="56" t="str">
        <f t="shared" si="2"/>
        <v>n/a</v>
      </c>
      <c r="AB20" s="56" t="s">
        <v>376</v>
      </c>
      <c r="AC20" s="56" t="s">
        <v>376</v>
      </c>
      <c r="AD20" s="56">
        <v>4352</v>
      </c>
      <c r="AE20" s="56">
        <v>4954431</v>
      </c>
      <c r="AF20" s="43" t="s">
        <v>358</v>
      </c>
      <c r="AG20" s="43" t="s">
        <v>414</v>
      </c>
      <c r="AH20" s="53"/>
    </row>
    <row r="21" spans="1:34" ht="76.5">
      <c r="A21" s="53" t="s">
        <v>348</v>
      </c>
      <c r="B21" s="53" t="s">
        <v>409</v>
      </c>
      <c r="C21" s="53" t="s">
        <v>1689</v>
      </c>
      <c r="D21" s="53" t="s">
        <v>1690</v>
      </c>
      <c r="E21" s="53" t="s">
        <v>1699</v>
      </c>
      <c r="F21" s="53" t="s">
        <v>1705</v>
      </c>
      <c r="H21" s="54" t="s">
        <v>359</v>
      </c>
      <c r="I21" s="53" t="s">
        <v>415</v>
      </c>
      <c r="J21" s="53" t="s">
        <v>386</v>
      </c>
      <c r="K21" s="53"/>
      <c r="L21" s="53" t="s">
        <v>275</v>
      </c>
      <c r="M21" s="53"/>
      <c r="N21" s="53"/>
      <c r="O21" s="53"/>
      <c r="P21" s="53"/>
      <c r="Q21" s="53">
        <v>39</v>
      </c>
      <c r="R21" s="53" t="str">
        <f t="shared" si="4"/>
        <v>SC40557</v>
      </c>
      <c r="S21" s="53" t="str">
        <f t="shared" si="4"/>
        <v>DO04830</v>
      </c>
      <c r="T21" s="53" t="s">
        <v>1711</v>
      </c>
      <c r="U21" s="53" t="s">
        <v>294</v>
      </c>
      <c r="V21" s="313">
        <v>2690</v>
      </c>
      <c r="W21" s="53">
        <v>4954429</v>
      </c>
      <c r="X21" s="53" t="str">
        <f t="shared" si="5"/>
        <v>PJ04726</v>
      </c>
      <c r="Y21" s="56" t="s">
        <v>1717</v>
      </c>
      <c r="Z21" s="56" t="s">
        <v>294</v>
      </c>
      <c r="AA21" s="56" t="str">
        <f t="shared" si="2"/>
        <v>n/a</v>
      </c>
      <c r="AB21" s="56" t="s">
        <v>376</v>
      </c>
      <c r="AC21" s="56" t="s">
        <v>376</v>
      </c>
      <c r="AD21" s="56">
        <v>4352</v>
      </c>
      <c r="AE21" s="56">
        <v>4954431</v>
      </c>
      <c r="AF21" s="43" t="s">
        <v>358</v>
      </c>
      <c r="AG21" s="43" t="s">
        <v>414</v>
      </c>
      <c r="AH21" s="53"/>
    </row>
    <row r="22" spans="1:34" ht="76.5">
      <c r="A22" s="53" t="s">
        <v>348</v>
      </c>
      <c r="B22" s="53" t="s">
        <v>409</v>
      </c>
      <c r="C22" s="53" t="s">
        <v>1691</v>
      </c>
      <c r="D22" s="53" t="s">
        <v>1692</v>
      </c>
      <c r="E22" s="53" t="s">
        <v>1700</v>
      </c>
      <c r="F22" s="53" t="s">
        <v>1706</v>
      </c>
      <c r="H22" s="54" t="s">
        <v>365</v>
      </c>
      <c r="I22" s="53" t="s">
        <v>415</v>
      </c>
      <c r="J22" s="53" t="s">
        <v>386</v>
      </c>
      <c r="K22" s="53"/>
      <c r="L22" s="53" t="s">
        <v>275</v>
      </c>
      <c r="M22" s="53"/>
      <c r="N22" s="53"/>
      <c r="O22" s="53"/>
      <c r="P22" s="53"/>
      <c r="Q22" s="53">
        <v>36</v>
      </c>
      <c r="R22" s="53" t="str">
        <f t="shared" si="4"/>
        <v>SC40558</v>
      </c>
      <c r="S22" s="53" t="str">
        <f t="shared" si="4"/>
        <v>DO04831</v>
      </c>
      <c r="T22" s="53" t="s">
        <v>1712</v>
      </c>
      <c r="U22" s="53" t="s">
        <v>294</v>
      </c>
      <c r="V22" s="313">
        <v>2690</v>
      </c>
      <c r="W22" s="53">
        <v>4954429</v>
      </c>
      <c r="X22" s="53" t="str">
        <f t="shared" si="5"/>
        <v>PJ04727</v>
      </c>
      <c r="Y22" s="56" t="s">
        <v>1718</v>
      </c>
      <c r="Z22" s="56" t="s">
        <v>294</v>
      </c>
      <c r="AA22" s="56" t="str">
        <f t="shared" si="2"/>
        <v>n/a</v>
      </c>
      <c r="AB22" s="56" t="s">
        <v>376</v>
      </c>
      <c r="AC22" s="56" t="s">
        <v>376</v>
      </c>
      <c r="AD22" s="56">
        <v>4352</v>
      </c>
      <c r="AE22" s="56">
        <v>4954431</v>
      </c>
      <c r="AF22" s="43" t="s">
        <v>358</v>
      </c>
      <c r="AG22" s="43" t="s">
        <v>414</v>
      </c>
      <c r="AH22" s="53"/>
    </row>
    <row r="23" spans="1:34" ht="76.5">
      <c r="A23" s="53" t="s">
        <v>348</v>
      </c>
      <c r="B23" s="53" t="s">
        <v>409</v>
      </c>
      <c r="C23" s="53" t="s">
        <v>1693</v>
      </c>
      <c r="D23" s="53" t="s">
        <v>1694</v>
      </c>
      <c r="E23" s="53" t="s">
        <v>1701</v>
      </c>
      <c r="F23" s="53" t="s">
        <v>1707</v>
      </c>
      <c r="H23" s="54" t="s">
        <v>370</v>
      </c>
      <c r="I23" s="53" t="s">
        <v>415</v>
      </c>
      <c r="J23" s="53" t="s">
        <v>386</v>
      </c>
      <c r="K23" s="53"/>
      <c r="L23" s="53" t="s">
        <v>275</v>
      </c>
      <c r="M23" s="53"/>
      <c r="N23" s="53"/>
      <c r="O23" s="53"/>
      <c r="P23" s="53"/>
      <c r="Q23" s="53">
        <v>37</v>
      </c>
      <c r="R23" s="53" t="str">
        <f t="shared" si="4"/>
        <v>SC40559</v>
      </c>
      <c r="S23" s="53" t="str">
        <f t="shared" si="4"/>
        <v>DO04832</v>
      </c>
      <c r="T23" s="53" t="s">
        <v>1713</v>
      </c>
      <c r="U23" s="53" t="s">
        <v>294</v>
      </c>
      <c r="V23" s="313">
        <v>2690</v>
      </c>
      <c r="W23" s="53">
        <v>4954429</v>
      </c>
      <c r="X23" s="53" t="str">
        <f t="shared" si="5"/>
        <v>PJ04728</v>
      </c>
      <c r="Y23" s="56" t="s">
        <v>1719</v>
      </c>
      <c r="Z23" s="56" t="s">
        <v>294</v>
      </c>
      <c r="AA23" s="56" t="str">
        <f t="shared" si="2"/>
        <v>n/a</v>
      </c>
      <c r="AB23" s="56" t="s">
        <v>376</v>
      </c>
      <c r="AC23" s="56" t="s">
        <v>376</v>
      </c>
      <c r="AD23" s="56">
        <v>4352</v>
      </c>
      <c r="AE23" s="56">
        <v>4954431</v>
      </c>
      <c r="AF23" s="43" t="s">
        <v>358</v>
      </c>
      <c r="AG23" s="43" t="s">
        <v>414</v>
      </c>
      <c r="AH23" s="53"/>
    </row>
    <row r="24" spans="1:34" ht="76.5">
      <c r="A24" s="53" t="s">
        <v>348</v>
      </c>
      <c r="B24" s="53" t="s">
        <v>409</v>
      </c>
      <c r="C24" s="53" t="s">
        <v>1695</v>
      </c>
      <c r="D24" s="53" t="s">
        <v>1696</v>
      </c>
      <c r="E24" s="53" t="s">
        <v>1702</v>
      </c>
      <c r="F24" s="53" t="s">
        <v>1708</v>
      </c>
      <c r="H24" s="54" t="s">
        <v>352</v>
      </c>
      <c r="I24" s="53" t="s">
        <v>415</v>
      </c>
      <c r="J24" s="53" t="s">
        <v>386</v>
      </c>
      <c r="K24" s="53"/>
      <c r="L24" s="53" t="s">
        <v>275</v>
      </c>
      <c r="M24" s="53"/>
      <c r="N24" s="53"/>
      <c r="O24" s="53"/>
      <c r="P24" s="53"/>
      <c r="Q24" s="42">
        <v>38</v>
      </c>
      <c r="R24" s="53" t="str">
        <f t="shared" ref="R24" si="6">C24</f>
        <v>SC40580</v>
      </c>
      <c r="S24" s="53" t="str">
        <f t="shared" si="4"/>
        <v>DO04852</v>
      </c>
      <c r="T24" s="53" t="s">
        <v>1714</v>
      </c>
      <c r="U24" s="53" t="s">
        <v>294</v>
      </c>
      <c r="V24" s="313">
        <v>2690</v>
      </c>
      <c r="W24" s="53">
        <v>4954429</v>
      </c>
      <c r="X24" s="53" t="str">
        <f t="shared" si="5"/>
        <v>PJ04731</v>
      </c>
      <c r="Y24" s="56" t="s">
        <v>1720</v>
      </c>
      <c r="Z24" s="56" t="s">
        <v>294</v>
      </c>
      <c r="AA24" s="56" t="str">
        <f t="shared" si="2"/>
        <v>n/a</v>
      </c>
      <c r="AB24" s="56" t="s">
        <v>376</v>
      </c>
      <c r="AC24" s="56" t="s">
        <v>376</v>
      </c>
      <c r="AD24" s="56">
        <v>4352</v>
      </c>
      <c r="AE24" s="56">
        <v>4954431</v>
      </c>
      <c r="AF24" s="43" t="s">
        <v>358</v>
      </c>
      <c r="AG24" s="43" t="s">
        <v>414</v>
      </c>
      <c r="AH24" s="53"/>
    </row>
    <row r="25" spans="1:34" ht="76.5">
      <c r="A25" s="43" t="s">
        <v>348</v>
      </c>
      <c r="B25" s="43" t="s">
        <v>409</v>
      </c>
      <c r="C25" s="43" t="s">
        <v>2313</v>
      </c>
      <c r="D25" s="43" t="s">
        <v>2314</v>
      </c>
      <c r="E25" s="43" t="s">
        <v>2315</v>
      </c>
      <c r="F25" s="313" t="s">
        <v>2180</v>
      </c>
      <c r="H25" s="55" t="s">
        <v>365</v>
      </c>
      <c r="I25" s="53" t="s">
        <v>415</v>
      </c>
      <c r="J25" s="53" t="s">
        <v>386</v>
      </c>
      <c r="K25" s="43"/>
      <c r="L25" s="312" t="s">
        <v>275</v>
      </c>
      <c r="M25" s="43"/>
      <c r="N25" s="43"/>
      <c r="O25" s="43"/>
      <c r="P25" s="43"/>
      <c r="Q25" s="43">
        <v>36</v>
      </c>
      <c r="R25" s="43" t="s">
        <v>2313</v>
      </c>
      <c r="S25" s="43" t="s">
        <v>2314</v>
      </c>
      <c r="T25" s="43" t="s">
        <v>2312</v>
      </c>
      <c r="U25" s="312" t="s">
        <v>294</v>
      </c>
      <c r="V25" s="312">
        <v>2690</v>
      </c>
      <c r="W25" s="53" t="s">
        <v>1164</v>
      </c>
      <c r="X25" s="43" t="str">
        <f>LEFT(F25,7)</f>
        <v>PJ04730</v>
      </c>
      <c r="Y25" s="43" t="s">
        <v>2179</v>
      </c>
      <c r="Z25" s="312" t="s">
        <v>294</v>
      </c>
      <c r="AA25" s="43" t="str">
        <f>IF(AG25="VEE", RIGHT(F25,7),"n/a")</f>
        <v>n/a</v>
      </c>
      <c r="AB25" s="43" t="s">
        <v>376</v>
      </c>
      <c r="AC25" s="312" t="s">
        <v>294</v>
      </c>
      <c r="AD25" s="312">
        <v>4352</v>
      </c>
      <c r="AE25" s="43">
        <v>4954431</v>
      </c>
      <c r="AF25" s="43"/>
      <c r="AG25" s="43" t="s">
        <v>414</v>
      </c>
      <c r="AH25" s="43"/>
    </row>
    <row r="26" spans="1:34" s="2" customFormat="1" ht="51" customHeight="1">
      <c r="A26" s="241" t="s">
        <v>57</v>
      </c>
      <c r="B26" s="246" t="s">
        <v>1763</v>
      </c>
      <c r="C26" s="204" t="s">
        <v>47</v>
      </c>
      <c r="D26" s="204" t="s">
        <v>51</v>
      </c>
      <c r="E26" s="204" t="s">
        <v>55</v>
      </c>
      <c r="F26" s="241" t="s">
        <v>1421</v>
      </c>
      <c r="G26" s="200" t="s">
        <v>1376</v>
      </c>
      <c r="H26" s="205" t="s">
        <v>5</v>
      </c>
      <c r="I26" s="203"/>
      <c r="J26" s="203" t="s">
        <v>11</v>
      </c>
      <c r="K26" s="206">
        <v>11</v>
      </c>
      <c r="L26" s="247" t="s">
        <v>277</v>
      </c>
      <c r="Q26" s="241">
        <v>11</v>
      </c>
      <c r="R26" s="203" t="s">
        <v>47</v>
      </c>
      <c r="S26" s="203" t="s">
        <v>51</v>
      </c>
      <c r="T26" s="208" t="s">
        <v>2057</v>
      </c>
      <c r="U26" s="212" t="s">
        <v>294</v>
      </c>
      <c r="V26" s="209">
        <v>2690</v>
      </c>
      <c r="W26" s="210">
        <v>4954429</v>
      </c>
      <c r="X26" s="241" t="s">
        <v>1473</v>
      </c>
      <c r="Y26" s="241" t="s">
        <v>1475</v>
      </c>
      <c r="Z26" s="241">
        <v>2896272</v>
      </c>
      <c r="AA26" s="241" t="s">
        <v>1474</v>
      </c>
      <c r="AB26" s="241" t="s">
        <v>1476</v>
      </c>
      <c r="AC26" s="241">
        <v>2896273</v>
      </c>
      <c r="AD26" s="336">
        <v>4352</v>
      </c>
      <c r="AE26" s="241" t="s">
        <v>583</v>
      </c>
      <c r="AF26" s="241" t="s">
        <v>330</v>
      </c>
      <c r="AG26" s="241" t="s">
        <v>413</v>
      </c>
      <c r="AH26" s="250"/>
    </row>
    <row r="27" spans="1:34" s="2" customFormat="1" ht="51" customHeight="1">
      <c r="A27" s="241" t="s">
        <v>57</v>
      </c>
      <c r="B27" s="246" t="s">
        <v>1763</v>
      </c>
      <c r="C27" s="204" t="s">
        <v>48</v>
      </c>
      <c r="D27" s="204" t="s">
        <v>52</v>
      </c>
      <c r="E27" s="204" t="s">
        <v>56</v>
      </c>
      <c r="F27" s="241" t="s">
        <v>1422</v>
      </c>
      <c r="G27" s="203" t="s">
        <v>1377</v>
      </c>
      <c r="H27" s="205" t="s">
        <v>6</v>
      </c>
      <c r="I27" s="203"/>
      <c r="J27" s="203" t="s">
        <v>11</v>
      </c>
      <c r="K27" s="211">
        <v>10</v>
      </c>
      <c r="L27" s="247" t="s">
        <v>277</v>
      </c>
      <c r="Q27" s="241">
        <v>10</v>
      </c>
      <c r="R27" s="204" t="s">
        <v>48</v>
      </c>
      <c r="S27" s="204" t="s">
        <v>52</v>
      </c>
      <c r="T27" s="208" t="s">
        <v>2058</v>
      </c>
      <c r="U27" s="212" t="s">
        <v>294</v>
      </c>
      <c r="V27" s="209">
        <v>2690</v>
      </c>
      <c r="W27" s="210">
        <v>4954429</v>
      </c>
      <c r="X27" s="241" t="s">
        <v>1477</v>
      </c>
      <c r="Y27" s="241" t="s">
        <v>1479</v>
      </c>
      <c r="Z27" s="241">
        <v>2896274</v>
      </c>
      <c r="AA27" s="241" t="s">
        <v>1478</v>
      </c>
      <c r="AB27" s="241" t="s">
        <v>1480</v>
      </c>
      <c r="AC27" s="241">
        <v>2896275</v>
      </c>
      <c r="AD27" s="336">
        <v>4352</v>
      </c>
      <c r="AE27" s="241" t="s">
        <v>583</v>
      </c>
      <c r="AF27" s="241" t="s">
        <v>330</v>
      </c>
      <c r="AG27" s="241" t="s">
        <v>413</v>
      </c>
      <c r="AH27" s="250"/>
    </row>
    <row r="28" spans="1:34" ht="51" customHeight="1">
      <c r="A28" s="241" t="s">
        <v>57</v>
      </c>
      <c r="B28" s="246" t="s">
        <v>1763</v>
      </c>
      <c r="C28" s="204" t="s">
        <v>49</v>
      </c>
      <c r="D28" s="204" t="s">
        <v>53</v>
      </c>
      <c r="E28" s="204" t="s">
        <v>55</v>
      </c>
      <c r="F28" s="241" t="s">
        <v>1421</v>
      </c>
      <c r="G28" s="203" t="s">
        <v>1378</v>
      </c>
      <c r="H28" s="205" t="s">
        <v>5</v>
      </c>
      <c r="I28" s="203"/>
      <c r="J28" s="203" t="s">
        <v>0</v>
      </c>
      <c r="K28" s="206">
        <v>11</v>
      </c>
      <c r="L28" s="247" t="s">
        <v>277</v>
      </c>
      <c r="Q28" s="241">
        <v>11</v>
      </c>
      <c r="R28" s="204" t="s">
        <v>49</v>
      </c>
      <c r="S28" s="204" t="s">
        <v>53</v>
      </c>
      <c r="T28" s="208" t="s">
        <v>2292</v>
      </c>
      <c r="U28" s="212" t="s">
        <v>294</v>
      </c>
      <c r="V28" s="209">
        <v>2690</v>
      </c>
      <c r="W28" s="210">
        <v>4954429</v>
      </c>
      <c r="X28" s="241" t="s">
        <v>1473</v>
      </c>
      <c r="Y28" s="241" t="s">
        <v>1475</v>
      </c>
      <c r="Z28" s="241">
        <v>2896272</v>
      </c>
      <c r="AA28" s="241" t="s">
        <v>1474</v>
      </c>
      <c r="AB28" s="241" t="s">
        <v>1476</v>
      </c>
      <c r="AC28" s="241">
        <v>2896273</v>
      </c>
      <c r="AD28" s="336">
        <v>4352</v>
      </c>
      <c r="AE28" s="241" t="s">
        <v>583</v>
      </c>
      <c r="AF28" s="241" t="s">
        <v>330</v>
      </c>
      <c r="AG28" s="241" t="s">
        <v>413</v>
      </c>
      <c r="AH28" s="250"/>
    </row>
    <row r="29" spans="1:34" ht="51" customHeight="1">
      <c r="A29" s="241" t="s">
        <v>57</v>
      </c>
      <c r="B29" s="246" t="s">
        <v>1763</v>
      </c>
      <c r="C29" s="207" t="s">
        <v>50</v>
      </c>
      <c r="D29" s="204" t="s">
        <v>54</v>
      </c>
      <c r="E29" s="204" t="s">
        <v>56</v>
      </c>
      <c r="F29" s="241" t="s">
        <v>1422</v>
      </c>
      <c r="G29" s="203" t="s">
        <v>1378</v>
      </c>
      <c r="H29" s="205" t="s">
        <v>6</v>
      </c>
      <c r="I29" s="203"/>
      <c r="J29" s="203" t="s">
        <v>0</v>
      </c>
      <c r="K29" s="211">
        <v>10</v>
      </c>
      <c r="L29" s="247" t="s">
        <v>277</v>
      </c>
      <c r="Q29" s="241">
        <v>10</v>
      </c>
      <c r="R29" s="204" t="s">
        <v>50</v>
      </c>
      <c r="S29" s="204" t="s">
        <v>54</v>
      </c>
      <c r="T29" s="208" t="s">
        <v>2293</v>
      </c>
      <c r="U29" s="212" t="s">
        <v>294</v>
      </c>
      <c r="V29" s="209">
        <v>2690</v>
      </c>
      <c r="W29" s="210">
        <v>4954429</v>
      </c>
      <c r="X29" s="241" t="s">
        <v>1477</v>
      </c>
      <c r="Y29" s="241" t="s">
        <v>1479</v>
      </c>
      <c r="Z29" s="241">
        <v>2896274</v>
      </c>
      <c r="AA29" s="241" t="s">
        <v>1478</v>
      </c>
      <c r="AB29" s="241" t="s">
        <v>1480</v>
      </c>
      <c r="AC29" s="241">
        <v>2896275</v>
      </c>
      <c r="AD29" s="336">
        <v>4352</v>
      </c>
      <c r="AE29" s="241" t="s">
        <v>583</v>
      </c>
      <c r="AF29" s="241" t="s">
        <v>330</v>
      </c>
      <c r="AG29" s="241" t="s">
        <v>413</v>
      </c>
      <c r="AH29" s="250"/>
    </row>
    <row r="30" spans="1:34" ht="38.25" customHeight="1">
      <c r="A30" s="241" t="s">
        <v>57</v>
      </c>
      <c r="B30" s="246" t="s">
        <v>1763</v>
      </c>
      <c r="C30" s="246" t="s">
        <v>1379</v>
      </c>
      <c r="D30" s="246" t="s">
        <v>1380</v>
      </c>
      <c r="E30" s="246" t="s">
        <v>1381</v>
      </c>
      <c r="F30" s="247" t="s">
        <v>1597</v>
      </c>
      <c r="G30" s="242"/>
      <c r="H30" s="248" t="s">
        <v>5</v>
      </c>
      <c r="I30" s="247"/>
      <c r="J30" s="247" t="s">
        <v>0</v>
      </c>
      <c r="K30" s="242"/>
      <c r="L30" s="247" t="s">
        <v>1392</v>
      </c>
      <c r="M30" s="243"/>
      <c r="N30" s="243"/>
      <c r="O30" s="243"/>
      <c r="P30" s="244"/>
      <c r="Q30" s="246">
        <v>11</v>
      </c>
      <c r="R30" s="246" t="str">
        <f t="shared" ref="R30:S32" si="7">C30</f>
        <v>SC61006</v>
      </c>
      <c r="S30" s="246" t="str">
        <f t="shared" si="7"/>
        <v>DO60166</v>
      </c>
      <c r="T30" s="249" t="s">
        <v>2304</v>
      </c>
      <c r="U30" s="249" t="s">
        <v>294</v>
      </c>
      <c r="V30" s="328">
        <v>2690</v>
      </c>
      <c r="W30" s="249">
        <v>4954429</v>
      </c>
      <c r="X30" s="249" t="str">
        <f t="shared" ref="X30:X31" si="8">LEFT(F30,7)</f>
        <v>PJ60267</v>
      </c>
      <c r="Y30" s="249" t="s">
        <v>2195</v>
      </c>
      <c r="Z30" s="245" t="s">
        <v>294</v>
      </c>
      <c r="AA30" s="249" t="str">
        <f>IF(AG30="VEE", RIGHT(F30,7),"n/a")</f>
        <v>PJ60268</v>
      </c>
      <c r="AB30" s="249" t="s">
        <v>1393</v>
      </c>
      <c r="AC30" s="245" t="s">
        <v>294</v>
      </c>
      <c r="AD30" s="328">
        <v>4352</v>
      </c>
      <c r="AE30" s="249">
        <v>4954431</v>
      </c>
      <c r="AF30" s="245" t="s">
        <v>330</v>
      </c>
      <c r="AG30" s="245" t="s">
        <v>413</v>
      </c>
      <c r="AH30" s="250" t="s">
        <v>1394</v>
      </c>
    </row>
    <row r="31" spans="1:34" ht="51" customHeight="1">
      <c r="A31" s="241" t="s">
        <v>57</v>
      </c>
      <c r="B31" s="246" t="s">
        <v>1763</v>
      </c>
      <c r="C31" s="246" t="s">
        <v>1382</v>
      </c>
      <c r="D31" s="246" t="s">
        <v>1383</v>
      </c>
      <c r="E31" s="246" t="s">
        <v>1384</v>
      </c>
      <c r="F31" s="247" t="s">
        <v>1598</v>
      </c>
      <c r="G31" s="242"/>
      <c r="H31" s="248" t="s">
        <v>6</v>
      </c>
      <c r="I31" s="247"/>
      <c r="J31" s="247" t="s">
        <v>0</v>
      </c>
      <c r="K31" s="242"/>
      <c r="L31" s="247" t="s">
        <v>1392</v>
      </c>
      <c r="M31" s="243"/>
      <c r="N31" s="243"/>
      <c r="O31" s="243"/>
      <c r="P31" s="244"/>
      <c r="Q31" s="246">
        <v>10</v>
      </c>
      <c r="R31" s="246" t="str">
        <f t="shared" si="7"/>
        <v>SC61007</v>
      </c>
      <c r="S31" s="246" t="str">
        <f t="shared" si="7"/>
        <v>DO60167</v>
      </c>
      <c r="T31" s="249" t="s">
        <v>2305</v>
      </c>
      <c r="U31" s="249" t="s">
        <v>294</v>
      </c>
      <c r="V31" s="328">
        <v>2690</v>
      </c>
      <c r="W31" s="249">
        <v>4954429</v>
      </c>
      <c r="X31" s="249" t="str">
        <f t="shared" si="8"/>
        <v>PJ60269</v>
      </c>
      <c r="Y31" s="249" t="s">
        <v>2196</v>
      </c>
      <c r="Z31" s="245" t="s">
        <v>294</v>
      </c>
      <c r="AA31" s="249" t="str">
        <f>IF(AG31="VEE", RIGHT(F31,7),"n/a")</f>
        <v>PJ60270</v>
      </c>
      <c r="AB31" s="249" t="s">
        <v>1395</v>
      </c>
      <c r="AC31" s="245" t="s">
        <v>294</v>
      </c>
      <c r="AD31" s="328">
        <v>4352</v>
      </c>
      <c r="AE31" s="249">
        <v>4954431</v>
      </c>
      <c r="AF31" s="245" t="s">
        <v>330</v>
      </c>
      <c r="AG31" s="245" t="s">
        <v>413</v>
      </c>
      <c r="AH31" s="250" t="s">
        <v>1394</v>
      </c>
    </row>
    <row r="32" spans="1:34" ht="51" customHeight="1">
      <c r="A32" s="213" t="s">
        <v>70</v>
      </c>
      <c r="B32" s="217" t="s">
        <v>1763</v>
      </c>
      <c r="C32" s="213" t="s">
        <v>58</v>
      </c>
      <c r="D32" s="213" t="s">
        <v>116</v>
      </c>
      <c r="E32" s="214" t="s">
        <v>60</v>
      </c>
      <c r="F32" s="213" t="s">
        <v>1423</v>
      </c>
      <c r="G32" s="185"/>
      <c r="H32" s="215" t="s">
        <v>7</v>
      </c>
      <c r="I32" s="213"/>
      <c r="J32" s="213" t="s">
        <v>11</v>
      </c>
      <c r="K32" s="185"/>
      <c r="L32" s="242" t="s">
        <v>277</v>
      </c>
      <c r="M32" s="201"/>
      <c r="N32" s="201"/>
      <c r="O32" s="201"/>
      <c r="P32" s="202"/>
      <c r="Q32" s="213">
        <v>7</v>
      </c>
      <c r="R32" s="213" t="str">
        <f t="shared" si="7"/>
        <v>SC60205</v>
      </c>
      <c r="S32" s="213" t="str">
        <f t="shared" si="7"/>
        <v>DO06447</v>
      </c>
      <c r="T32" s="217" t="s">
        <v>2054</v>
      </c>
      <c r="U32" s="218" t="s">
        <v>294</v>
      </c>
      <c r="V32" s="219">
        <v>2690</v>
      </c>
      <c r="W32" s="220">
        <v>4954429</v>
      </c>
      <c r="X32" s="213" t="s">
        <v>1481</v>
      </c>
      <c r="Y32" s="213" t="s">
        <v>1483</v>
      </c>
      <c r="Z32" s="213">
        <v>2896276</v>
      </c>
      <c r="AA32" s="213" t="s">
        <v>1482</v>
      </c>
      <c r="AB32" s="213" t="s">
        <v>1484</v>
      </c>
      <c r="AC32" s="213">
        <v>2896277</v>
      </c>
      <c r="AD32" s="213">
        <v>4352</v>
      </c>
      <c r="AE32" s="213">
        <v>4954431</v>
      </c>
      <c r="AF32" s="213" t="s">
        <v>330</v>
      </c>
      <c r="AG32" s="213" t="s">
        <v>413</v>
      </c>
      <c r="AH32" s="48"/>
    </row>
    <row r="33" spans="1:34" ht="51" customHeight="1">
      <c r="A33" s="213" t="s">
        <v>70</v>
      </c>
      <c r="B33" s="213" t="s">
        <v>1763</v>
      </c>
      <c r="C33" s="213" t="s">
        <v>59</v>
      </c>
      <c r="D33" s="213" t="s">
        <v>117</v>
      </c>
      <c r="E33" s="214" t="s">
        <v>61</v>
      </c>
      <c r="F33" s="213" t="s">
        <v>1424</v>
      </c>
      <c r="G33" s="213" t="s">
        <v>1386</v>
      </c>
      <c r="H33" s="215" t="s">
        <v>8</v>
      </c>
      <c r="I33" s="213"/>
      <c r="J33" s="213" t="s">
        <v>11</v>
      </c>
      <c r="L33" s="242" t="s">
        <v>277</v>
      </c>
      <c r="Q33" s="213">
        <v>6</v>
      </c>
      <c r="R33" s="213" t="str">
        <f t="shared" ref="R33:S40" si="9">C33</f>
        <v>SC60206</v>
      </c>
      <c r="S33" s="213" t="str">
        <f t="shared" si="9"/>
        <v>DO06448</v>
      </c>
      <c r="T33" s="217" t="s">
        <v>2055</v>
      </c>
      <c r="U33" s="218" t="s">
        <v>294</v>
      </c>
      <c r="V33" s="219">
        <v>2690</v>
      </c>
      <c r="W33" s="220">
        <v>4954429</v>
      </c>
      <c r="X33" s="213" t="s">
        <v>1485</v>
      </c>
      <c r="Y33" s="213" t="s">
        <v>1487</v>
      </c>
      <c r="Z33" s="213">
        <v>2896278</v>
      </c>
      <c r="AA33" s="213" t="s">
        <v>1486</v>
      </c>
      <c r="AB33" s="213" t="s">
        <v>1488</v>
      </c>
      <c r="AC33" s="213">
        <v>2896279</v>
      </c>
      <c r="AD33" s="213">
        <v>4352</v>
      </c>
      <c r="AE33" s="213" t="s">
        <v>583</v>
      </c>
      <c r="AF33" s="213" t="s">
        <v>330</v>
      </c>
      <c r="AG33" s="213" t="s">
        <v>413</v>
      </c>
      <c r="AH33" s="48"/>
    </row>
    <row r="34" spans="1:34" ht="51" customHeight="1">
      <c r="A34" s="213" t="s">
        <v>70</v>
      </c>
      <c r="B34" s="213" t="s">
        <v>1763</v>
      </c>
      <c r="C34" s="213" t="s">
        <v>62</v>
      </c>
      <c r="D34" s="213" t="s">
        <v>155</v>
      </c>
      <c r="E34" s="214" t="s">
        <v>64</v>
      </c>
      <c r="F34" s="213" t="s">
        <v>1425</v>
      </c>
      <c r="G34" s="213" t="s">
        <v>1387</v>
      </c>
      <c r="H34" s="215" t="s">
        <v>9</v>
      </c>
      <c r="I34" s="213"/>
      <c r="J34" s="213" t="s">
        <v>11</v>
      </c>
      <c r="L34" s="242" t="s">
        <v>277</v>
      </c>
      <c r="Q34" s="213">
        <v>9</v>
      </c>
      <c r="R34" s="213" t="str">
        <f t="shared" si="9"/>
        <v>SC60249</v>
      </c>
      <c r="S34" s="213" t="str">
        <f t="shared" si="9"/>
        <v>DO06361</v>
      </c>
      <c r="T34" s="217" t="s">
        <v>2049</v>
      </c>
      <c r="U34" s="218" t="s">
        <v>294</v>
      </c>
      <c r="V34" s="219">
        <v>2690</v>
      </c>
      <c r="W34" s="220" t="s">
        <v>1164</v>
      </c>
      <c r="X34" s="213" t="s">
        <v>1489</v>
      </c>
      <c r="Y34" s="213" t="s">
        <v>1491</v>
      </c>
      <c r="Z34" s="213">
        <v>2896280</v>
      </c>
      <c r="AA34" s="213" t="s">
        <v>1490</v>
      </c>
      <c r="AB34" s="213" t="s">
        <v>1492</v>
      </c>
      <c r="AC34" s="213">
        <v>2896281</v>
      </c>
      <c r="AD34" s="213">
        <v>4352</v>
      </c>
      <c r="AE34" s="213" t="s">
        <v>583</v>
      </c>
      <c r="AF34" s="213" t="s">
        <v>330</v>
      </c>
      <c r="AG34" s="213" t="s">
        <v>413</v>
      </c>
      <c r="AH34" s="48"/>
    </row>
    <row r="35" spans="1:34" s="2" customFormat="1" ht="51" customHeight="1">
      <c r="A35" s="213" t="s">
        <v>70</v>
      </c>
      <c r="B35" s="213" t="s">
        <v>1763</v>
      </c>
      <c r="C35" s="213" t="s">
        <v>63</v>
      </c>
      <c r="D35" s="213" t="s">
        <v>118</v>
      </c>
      <c r="E35" s="214" t="s">
        <v>65</v>
      </c>
      <c r="F35" s="213" t="s">
        <v>1426</v>
      </c>
      <c r="G35" s="213" t="s">
        <v>1388</v>
      </c>
      <c r="H35" s="215" t="s">
        <v>10</v>
      </c>
      <c r="I35" s="213"/>
      <c r="J35" s="213" t="s">
        <v>11</v>
      </c>
      <c r="K35" s="13"/>
      <c r="L35" s="242" t="s">
        <v>277</v>
      </c>
      <c r="M35" s="1"/>
      <c r="N35" s="1"/>
      <c r="O35" s="1"/>
      <c r="P35" s="1"/>
      <c r="Q35" s="213">
        <v>8</v>
      </c>
      <c r="R35" s="213" t="str">
        <f t="shared" si="9"/>
        <v>SC60250</v>
      </c>
      <c r="S35" s="213" t="str">
        <f t="shared" si="9"/>
        <v>DO06446</v>
      </c>
      <c r="T35" s="217" t="s">
        <v>2056</v>
      </c>
      <c r="U35" s="218" t="s">
        <v>294</v>
      </c>
      <c r="V35" s="219">
        <v>2690</v>
      </c>
      <c r="W35" s="220">
        <v>4954429</v>
      </c>
      <c r="X35" s="213" t="s">
        <v>1493</v>
      </c>
      <c r="Y35" s="213" t="s">
        <v>1495</v>
      </c>
      <c r="Z35" s="213">
        <v>2896282</v>
      </c>
      <c r="AA35" s="213" t="s">
        <v>1494</v>
      </c>
      <c r="AB35" s="213" t="s">
        <v>1496</v>
      </c>
      <c r="AC35" s="213">
        <v>2896283</v>
      </c>
      <c r="AD35" s="213">
        <v>4352</v>
      </c>
      <c r="AE35" s="213" t="s">
        <v>583</v>
      </c>
      <c r="AF35" s="213" t="s">
        <v>330</v>
      </c>
      <c r="AG35" s="213" t="s">
        <v>413</v>
      </c>
      <c r="AH35" s="48"/>
    </row>
    <row r="36" spans="1:34" ht="51" customHeight="1">
      <c r="A36" s="213" t="s">
        <v>70</v>
      </c>
      <c r="B36" s="213" t="s">
        <v>1763</v>
      </c>
      <c r="C36" s="213" t="s">
        <v>66</v>
      </c>
      <c r="D36" s="213" t="s">
        <v>154</v>
      </c>
      <c r="E36" s="214" t="s">
        <v>60</v>
      </c>
      <c r="F36" s="213" t="s">
        <v>1423</v>
      </c>
      <c r="G36" s="213" t="s">
        <v>1385</v>
      </c>
      <c r="H36" s="215" t="s">
        <v>7</v>
      </c>
      <c r="I36" s="213"/>
      <c r="J36" s="213" t="s">
        <v>0</v>
      </c>
      <c r="L36" s="242" t="s">
        <v>277</v>
      </c>
      <c r="Q36" s="213">
        <v>7</v>
      </c>
      <c r="R36" s="213" t="str">
        <f t="shared" si="9"/>
        <v>SC60689</v>
      </c>
      <c r="S36" s="213" t="str">
        <f t="shared" si="9"/>
        <v>DO06834</v>
      </c>
      <c r="T36" s="217" t="s">
        <v>2282</v>
      </c>
      <c r="U36" s="218" t="s">
        <v>294</v>
      </c>
      <c r="V36" s="219">
        <v>2690</v>
      </c>
      <c r="W36" s="220" t="s">
        <v>581</v>
      </c>
      <c r="X36" s="213" t="s">
        <v>1481</v>
      </c>
      <c r="Y36" s="213" t="s">
        <v>1483</v>
      </c>
      <c r="Z36" s="213">
        <v>2896276</v>
      </c>
      <c r="AA36" s="213" t="s">
        <v>1482</v>
      </c>
      <c r="AB36" s="213" t="s">
        <v>1484</v>
      </c>
      <c r="AC36" s="213">
        <v>2896277</v>
      </c>
      <c r="AD36" s="213">
        <v>4352</v>
      </c>
      <c r="AE36" s="213" t="s">
        <v>583</v>
      </c>
      <c r="AF36" s="213" t="s">
        <v>330</v>
      </c>
      <c r="AG36" s="213" t="s">
        <v>413</v>
      </c>
      <c r="AH36" s="48"/>
    </row>
    <row r="37" spans="1:34" ht="51" customHeight="1">
      <c r="A37" s="213" t="s">
        <v>70</v>
      </c>
      <c r="B37" s="213" t="s">
        <v>1763</v>
      </c>
      <c r="C37" s="213" t="s">
        <v>67</v>
      </c>
      <c r="D37" s="213" t="s">
        <v>153</v>
      </c>
      <c r="E37" s="214" t="s">
        <v>61</v>
      </c>
      <c r="F37" s="213" t="s">
        <v>1424</v>
      </c>
      <c r="G37" s="213" t="s">
        <v>1386</v>
      </c>
      <c r="H37" s="215" t="s">
        <v>8</v>
      </c>
      <c r="I37" s="213"/>
      <c r="J37" s="213" t="s">
        <v>0</v>
      </c>
      <c r="L37" s="242" t="s">
        <v>277</v>
      </c>
      <c r="Q37" s="213">
        <v>6</v>
      </c>
      <c r="R37" s="213" t="str">
        <f t="shared" si="9"/>
        <v>SC60690</v>
      </c>
      <c r="S37" s="213" t="str">
        <f t="shared" si="9"/>
        <v>DO06835</v>
      </c>
      <c r="T37" s="217" t="s">
        <v>2283</v>
      </c>
      <c r="U37" s="218" t="s">
        <v>294</v>
      </c>
      <c r="V37" s="219">
        <v>2690</v>
      </c>
      <c r="W37" s="220" t="s">
        <v>581</v>
      </c>
      <c r="X37" s="213" t="s">
        <v>1485</v>
      </c>
      <c r="Y37" s="213" t="s">
        <v>1487</v>
      </c>
      <c r="Z37" s="213">
        <v>2896278</v>
      </c>
      <c r="AA37" s="213" t="s">
        <v>1486</v>
      </c>
      <c r="AB37" s="213" t="s">
        <v>1488</v>
      </c>
      <c r="AC37" s="213">
        <v>2896279</v>
      </c>
      <c r="AD37" s="213">
        <v>4352</v>
      </c>
      <c r="AE37" s="213" t="s">
        <v>583</v>
      </c>
      <c r="AF37" s="213" t="s">
        <v>330</v>
      </c>
      <c r="AG37" s="213" t="s">
        <v>413</v>
      </c>
      <c r="AH37" s="48"/>
    </row>
    <row r="38" spans="1:34" s="2" customFormat="1" ht="51" customHeight="1">
      <c r="A38" s="213" t="s">
        <v>70</v>
      </c>
      <c r="B38" s="213" t="s">
        <v>1763</v>
      </c>
      <c r="C38" s="213" t="s">
        <v>68</v>
      </c>
      <c r="D38" s="213" t="s">
        <v>156</v>
      </c>
      <c r="E38" s="214" t="s">
        <v>64</v>
      </c>
      <c r="F38" s="213" t="s">
        <v>1425</v>
      </c>
      <c r="G38" s="213" t="s">
        <v>1387</v>
      </c>
      <c r="H38" s="215" t="s">
        <v>9</v>
      </c>
      <c r="I38" s="213"/>
      <c r="J38" s="213" t="s">
        <v>0</v>
      </c>
      <c r="K38" s="13"/>
      <c r="L38" s="242" t="s">
        <v>277</v>
      </c>
      <c r="M38" s="1"/>
      <c r="N38" s="1"/>
      <c r="O38" s="1"/>
      <c r="P38" s="1"/>
      <c r="Q38" s="213">
        <v>9</v>
      </c>
      <c r="R38" s="213" t="str">
        <f t="shared" si="9"/>
        <v>SC60691</v>
      </c>
      <c r="S38" s="213" t="str">
        <f t="shared" si="9"/>
        <v>DO06836</v>
      </c>
      <c r="T38" s="217" t="s">
        <v>2284</v>
      </c>
      <c r="U38" s="218" t="s">
        <v>294</v>
      </c>
      <c r="V38" s="219">
        <v>2690</v>
      </c>
      <c r="W38" s="220" t="s">
        <v>581</v>
      </c>
      <c r="X38" s="213" t="s">
        <v>1489</v>
      </c>
      <c r="Y38" s="213" t="s">
        <v>1491</v>
      </c>
      <c r="Z38" s="213">
        <v>2896280</v>
      </c>
      <c r="AA38" s="213" t="s">
        <v>1490</v>
      </c>
      <c r="AB38" s="213" t="s">
        <v>1492</v>
      </c>
      <c r="AC38" s="213">
        <v>2896281</v>
      </c>
      <c r="AD38" s="213">
        <v>4352</v>
      </c>
      <c r="AE38" s="213" t="s">
        <v>583</v>
      </c>
      <c r="AF38" s="213" t="s">
        <v>330</v>
      </c>
      <c r="AG38" s="213" t="s">
        <v>413</v>
      </c>
      <c r="AH38" s="48"/>
    </row>
    <row r="39" spans="1:34" ht="51" customHeight="1">
      <c r="A39" s="213" t="s">
        <v>70</v>
      </c>
      <c r="B39" s="213" t="s">
        <v>1763</v>
      </c>
      <c r="C39" s="213" t="s">
        <v>69</v>
      </c>
      <c r="D39" s="213" t="s">
        <v>157</v>
      </c>
      <c r="E39" s="214" t="s">
        <v>65</v>
      </c>
      <c r="F39" s="213" t="s">
        <v>1426</v>
      </c>
      <c r="G39" s="213" t="s">
        <v>1388</v>
      </c>
      <c r="H39" s="215" t="s">
        <v>10</v>
      </c>
      <c r="I39" s="213"/>
      <c r="J39" s="213" t="s">
        <v>0</v>
      </c>
      <c r="L39" s="242" t="s">
        <v>277</v>
      </c>
      <c r="Q39" s="213">
        <v>8</v>
      </c>
      <c r="R39" s="213" t="str">
        <f t="shared" si="9"/>
        <v>SC60692</v>
      </c>
      <c r="S39" s="213" t="str">
        <f t="shared" si="9"/>
        <v>DO06837</v>
      </c>
      <c r="T39" s="217" t="s">
        <v>2285</v>
      </c>
      <c r="U39" s="218" t="s">
        <v>294</v>
      </c>
      <c r="V39" s="219">
        <v>2690</v>
      </c>
      <c r="W39" s="220" t="s">
        <v>581</v>
      </c>
      <c r="X39" s="213" t="s">
        <v>1493</v>
      </c>
      <c r="Y39" s="213" t="s">
        <v>1495</v>
      </c>
      <c r="Z39" s="213">
        <v>2896282</v>
      </c>
      <c r="AA39" s="213" t="s">
        <v>1494</v>
      </c>
      <c r="AB39" s="213" t="s">
        <v>1496</v>
      </c>
      <c r="AC39" s="213">
        <v>2896283</v>
      </c>
      <c r="AD39" s="213">
        <v>4352</v>
      </c>
      <c r="AE39" s="213" t="s">
        <v>583</v>
      </c>
      <c r="AF39" s="213" t="s">
        <v>330</v>
      </c>
      <c r="AG39" s="213" t="s">
        <v>413</v>
      </c>
      <c r="AH39" s="48"/>
    </row>
    <row r="40" spans="1:34" ht="51" customHeight="1">
      <c r="A40" s="213" t="s">
        <v>70</v>
      </c>
      <c r="B40" s="213" t="s">
        <v>1763</v>
      </c>
      <c r="C40" s="213" t="s">
        <v>1389</v>
      </c>
      <c r="D40" s="213" t="s">
        <v>1390</v>
      </c>
      <c r="E40" s="214" t="s">
        <v>65</v>
      </c>
      <c r="F40" s="213" t="s">
        <v>1426</v>
      </c>
      <c r="G40" s="216" t="s">
        <v>1391</v>
      </c>
      <c r="H40" s="215" t="s">
        <v>10</v>
      </c>
      <c r="I40" s="213"/>
      <c r="J40" s="213" t="s">
        <v>0</v>
      </c>
      <c r="L40" s="242" t="s">
        <v>277</v>
      </c>
      <c r="Q40" s="213">
        <v>8</v>
      </c>
      <c r="R40" s="213" t="str">
        <f t="shared" si="9"/>
        <v>SC60688</v>
      </c>
      <c r="S40" s="213" t="str">
        <f t="shared" si="9"/>
        <v>DO06833</v>
      </c>
      <c r="T40" s="217" t="s">
        <v>2059</v>
      </c>
      <c r="U40" s="218" t="s">
        <v>294</v>
      </c>
      <c r="V40" s="329">
        <v>2690</v>
      </c>
      <c r="W40" s="218">
        <v>4954429</v>
      </c>
      <c r="X40" s="213" t="s">
        <v>1493</v>
      </c>
      <c r="Y40" s="213" t="s">
        <v>1495</v>
      </c>
      <c r="Z40" s="213">
        <v>2896282</v>
      </c>
      <c r="AA40" s="213" t="s">
        <v>1494</v>
      </c>
      <c r="AB40" s="213" t="s">
        <v>1496</v>
      </c>
      <c r="AC40" s="213">
        <v>2896283</v>
      </c>
      <c r="AD40" s="213">
        <v>4352</v>
      </c>
      <c r="AE40" s="213" t="s">
        <v>583</v>
      </c>
      <c r="AF40" s="213" t="s">
        <v>330</v>
      </c>
      <c r="AG40" s="213" t="s">
        <v>413</v>
      </c>
      <c r="AH40" s="48"/>
    </row>
    <row r="41" spans="1:34" ht="42" customHeight="1">
      <c r="A41" s="217" t="s">
        <v>70</v>
      </c>
      <c r="B41" s="213" t="s">
        <v>1763</v>
      </c>
      <c r="C41" s="253" t="s">
        <v>1396</v>
      </c>
      <c r="D41" s="253" t="s">
        <v>1397</v>
      </c>
      <c r="E41" s="253" t="s">
        <v>1398</v>
      </c>
      <c r="F41" s="242" t="s">
        <v>1599</v>
      </c>
      <c r="G41" s="242"/>
      <c r="H41" s="251" t="s">
        <v>7</v>
      </c>
      <c r="I41" s="242"/>
      <c r="J41" s="242" t="s">
        <v>0</v>
      </c>
      <c r="K41" s="252"/>
      <c r="L41" s="242" t="s">
        <v>275</v>
      </c>
      <c r="M41" s="240"/>
      <c r="N41" s="240"/>
      <c r="O41" s="240"/>
      <c r="P41" s="240"/>
      <c r="Q41" s="253">
        <v>7</v>
      </c>
      <c r="R41" s="253" t="str">
        <f t="shared" ref="R41:S44" si="10">C41</f>
        <v>SC61008</v>
      </c>
      <c r="S41" s="253" t="str">
        <f t="shared" si="10"/>
        <v>DO60168</v>
      </c>
      <c r="T41" s="254" t="s">
        <v>2286</v>
      </c>
      <c r="U41" s="253" t="s">
        <v>294</v>
      </c>
      <c r="V41" s="330">
        <v>2690</v>
      </c>
      <c r="W41" s="242">
        <v>4954429</v>
      </c>
      <c r="X41" s="254" t="str">
        <f t="shared" ref="X41:X44" si="11">LEFT(F41,7)</f>
        <v>PJ60271</v>
      </c>
      <c r="Y41" s="254" t="s">
        <v>2197</v>
      </c>
      <c r="Z41" s="255" t="s">
        <v>294</v>
      </c>
      <c r="AA41" s="254" t="str">
        <f t="shared" ref="AA41:AA48" si="12">IF(AG41="VEE", RIGHT(F41,7),"n/a")</f>
        <v>PJ60272</v>
      </c>
      <c r="AB41" s="254" t="s">
        <v>1408</v>
      </c>
      <c r="AC41" s="255" t="s">
        <v>294</v>
      </c>
      <c r="AD41" s="330">
        <v>4352</v>
      </c>
      <c r="AE41" s="254">
        <v>4954431</v>
      </c>
      <c r="AF41" s="255" t="s">
        <v>330</v>
      </c>
      <c r="AG41" s="255" t="s">
        <v>413</v>
      </c>
      <c r="AH41" s="256" t="s">
        <v>1394</v>
      </c>
    </row>
    <row r="42" spans="1:34" ht="56.25" customHeight="1">
      <c r="A42" s="217" t="s">
        <v>70</v>
      </c>
      <c r="B42" s="213" t="s">
        <v>1763</v>
      </c>
      <c r="C42" s="253" t="s">
        <v>1399</v>
      </c>
      <c r="D42" s="253" t="s">
        <v>1400</v>
      </c>
      <c r="E42" s="253" t="s">
        <v>1401</v>
      </c>
      <c r="F42" s="242" t="s">
        <v>1600</v>
      </c>
      <c r="G42" s="242"/>
      <c r="H42" s="319" t="s">
        <v>2368</v>
      </c>
      <c r="I42" s="242"/>
      <c r="J42" s="242" t="s">
        <v>0</v>
      </c>
      <c r="K42" s="252"/>
      <c r="L42" s="242" t="s">
        <v>275</v>
      </c>
      <c r="M42" s="240"/>
      <c r="N42" s="240"/>
      <c r="O42" s="240"/>
      <c r="P42" s="240"/>
      <c r="Q42" s="253">
        <v>6</v>
      </c>
      <c r="R42" s="253" t="str">
        <f t="shared" si="10"/>
        <v>SC61009</v>
      </c>
      <c r="S42" s="253" t="str">
        <f t="shared" si="10"/>
        <v>DO60169</v>
      </c>
      <c r="T42" s="254" t="s">
        <v>2287</v>
      </c>
      <c r="U42" s="253" t="s">
        <v>294</v>
      </c>
      <c r="V42" s="330">
        <v>2690</v>
      </c>
      <c r="W42" s="242">
        <v>4954429</v>
      </c>
      <c r="X42" s="254" t="str">
        <f t="shared" si="11"/>
        <v>PJ60273</v>
      </c>
      <c r="Y42" s="254" t="s">
        <v>2198</v>
      </c>
      <c r="Z42" s="255" t="s">
        <v>294</v>
      </c>
      <c r="AA42" s="254" t="str">
        <f t="shared" si="12"/>
        <v>PJ60274</v>
      </c>
      <c r="AB42" s="254" t="s">
        <v>1409</v>
      </c>
      <c r="AC42" s="255" t="s">
        <v>294</v>
      </c>
      <c r="AD42" s="330">
        <v>4352</v>
      </c>
      <c r="AE42" s="254">
        <v>4954431</v>
      </c>
      <c r="AF42" s="255" t="s">
        <v>330</v>
      </c>
      <c r="AG42" s="255" t="s">
        <v>413</v>
      </c>
      <c r="AH42" s="256" t="s">
        <v>1394</v>
      </c>
    </row>
    <row r="43" spans="1:34" ht="38.25" customHeight="1">
      <c r="A43" s="242" t="s">
        <v>70</v>
      </c>
      <c r="B43" s="213" t="s">
        <v>1763</v>
      </c>
      <c r="C43" s="253" t="s">
        <v>1402</v>
      </c>
      <c r="D43" s="253" t="s">
        <v>1403</v>
      </c>
      <c r="E43" s="253" t="s">
        <v>1404</v>
      </c>
      <c r="F43" s="242" t="s">
        <v>1601</v>
      </c>
      <c r="G43" s="242"/>
      <c r="H43" s="251" t="s">
        <v>9</v>
      </c>
      <c r="I43" s="242"/>
      <c r="J43" s="242" t="s">
        <v>0</v>
      </c>
      <c r="K43" s="252"/>
      <c r="L43" s="242" t="s">
        <v>275</v>
      </c>
      <c r="M43" s="240"/>
      <c r="N43" s="240"/>
      <c r="O43" s="240"/>
      <c r="P43" s="240"/>
      <c r="Q43" s="253">
        <v>9</v>
      </c>
      <c r="R43" s="253" t="str">
        <f t="shared" si="10"/>
        <v>SC61010</v>
      </c>
      <c r="S43" s="253" t="str">
        <f t="shared" si="10"/>
        <v>DO60170</v>
      </c>
      <c r="T43" s="254" t="s">
        <v>2288</v>
      </c>
      <c r="U43" s="253" t="s">
        <v>294</v>
      </c>
      <c r="V43" s="330">
        <v>2690</v>
      </c>
      <c r="W43" s="242">
        <v>4954429</v>
      </c>
      <c r="X43" s="254" t="str">
        <f t="shared" si="11"/>
        <v>PJ60275</v>
      </c>
      <c r="Y43" s="254" t="s">
        <v>2199</v>
      </c>
      <c r="Z43" s="255" t="s">
        <v>294</v>
      </c>
      <c r="AA43" s="254" t="str">
        <f t="shared" si="12"/>
        <v>PJ60276</v>
      </c>
      <c r="AB43" s="254" t="s">
        <v>1410</v>
      </c>
      <c r="AC43" s="255" t="s">
        <v>294</v>
      </c>
      <c r="AD43" s="330">
        <v>4352</v>
      </c>
      <c r="AE43" s="254">
        <v>4954431</v>
      </c>
      <c r="AF43" s="255" t="s">
        <v>330</v>
      </c>
      <c r="AG43" s="255" t="s">
        <v>413</v>
      </c>
      <c r="AH43" s="256" t="s">
        <v>1394</v>
      </c>
    </row>
    <row r="44" spans="1:34" ht="51" customHeight="1">
      <c r="A44" s="242" t="s">
        <v>70</v>
      </c>
      <c r="B44" s="213" t="s">
        <v>1763</v>
      </c>
      <c r="C44" s="253" t="s">
        <v>1405</v>
      </c>
      <c r="D44" s="253" t="s">
        <v>1406</v>
      </c>
      <c r="E44" s="253" t="s">
        <v>1407</v>
      </c>
      <c r="F44" s="242" t="s">
        <v>1602</v>
      </c>
      <c r="G44" s="242"/>
      <c r="H44" s="251" t="s">
        <v>10</v>
      </c>
      <c r="I44" s="242"/>
      <c r="J44" s="242" t="s">
        <v>0</v>
      </c>
      <c r="K44" s="252"/>
      <c r="L44" s="242" t="s">
        <v>277</v>
      </c>
      <c r="M44" s="240"/>
      <c r="N44" s="240"/>
      <c r="O44" s="240"/>
      <c r="P44" s="240"/>
      <c r="Q44" s="253">
        <v>8</v>
      </c>
      <c r="R44" s="253" t="str">
        <f t="shared" si="10"/>
        <v>SC61011</v>
      </c>
      <c r="S44" s="253" t="str">
        <f t="shared" si="10"/>
        <v>DO60171</v>
      </c>
      <c r="T44" s="254" t="s">
        <v>2289</v>
      </c>
      <c r="U44" s="253" t="s">
        <v>294</v>
      </c>
      <c r="V44" s="330">
        <v>2690</v>
      </c>
      <c r="W44" s="242">
        <v>4954429</v>
      </c>
      <c r="X44" s="254" t="str">
        <f t="shared" si="11"/>
        <v>PJ60277</v>
      </c>
      <c r="Y44" s="254" t="s">
        <v>2200</v>
      </c>
      <c r="Z44" s="255" t="s">
        <v>294</v>
      </c>
      <c r="AA44" s="254" t="str">
        <f t="shared" si="12"/>
        <v>PJ60278</v>
      </c>
      <c r="AB44" s="254" t="s">
        <v>1411</v>
      </c>
      <c r="AC44" s="255" t="s">
        <v>294</v>
      </c>
      <c r="AD44" s="330">
        <v>4352</v>
      </c>
      <c r="AE44" s="254">
        <v>4954431</v>
      </c>
      <c r="AF44" s="255" t="s">
        <v>330</v>
      </c>
      <c r="AG44" s="255" t="s">
        <v>413</v>
      </c>
      <c r="AH44" s="256" t="s">
        <v>1394</v>
      </c>
    </row>
    <row r="45" spans="1:34" ht="25.5">
      <c r="A45" s="213" t="s">
        <v>70</v>
      </c>
      <c r="B45" s="214" t="s">
        <v>1763</v>
      </c>
      <c r="C45" s="214" t="s">
        <v>2337</v>
      </c>
      <c r="D45" s="214" t="s">
        <v>2338</v>
      </c>
      <c r="E45" s="214" t="s">
        <v>2339</v>
      </c>
      <c r="F45" s="314" t="s">
        <v>2364</v>
      </c>
      <c r="H45" s="215" t="s">
        <v>2360</v>
      </c>
      <c r="I45" s="214"/>
      <c r="J45" s="317" t="s">
        <v>0</v>
      </c>
      <c r="K45" s="214"/>
      <c r="L45" s="316" t="s">
        <v>275</v>
      </c>
      <c r="M45" s="214"/>
      <c r="N45" s="214"/>
      <c r="O45" s="214"/>
      <c r="P45" s="214"/>
      <c r="Q45" s="316" t="s">
        <v>294</v>
      </c>
      <c r="R45" s="214" t="s">
        <v>2337</v>
      </c>
      <c r="S45" s="214" t="s">
        <v>2338</v>
      </c>
      <c r="T45" s="214" t="s">
        <v>2336</v>
      </c>
      <c r="U45" s="316" t="s">
        <v>294</v>
      </c>
      <c r="V45" s="214">
        <v>2690</v>
      </c>
      <c r="W45" s="213">
        <v>4954429</v>
      </c>
      <c r="X45" s="214" t="str">
        <f>LEFT(F45,7)</f>
        <v>PJ60259</v>
      </c>
      <c r="Y45" s="214" t="s">
        <v>2187</v>
      </c>
      <c r="Z45" s="316" t="s">
        <v>294</v>
      </c>
      <c r="AA45" s="214" t="str">
        <f t="shared" si="12"/>
        <v>PJ60260</v>
      </c>
      <c r="AB45" s="214" t="s">
        <v>2188</v>
      </c>
      <c r="AC45" s="316" t="s">
        <v>294</v>
      </c>
      <c r="AD45" s="214">
        <v>4352</v>
      </c>
      <c r="AE45" s="214">
        <v>4954431</v>
      </c>
      <c r="AF45" s="214" t="s">
        <v>330</v>
      </c>
      <c r="AG45" s="214" t="s">
        <v>413</v>
      </c>
      <c r="AH45" s="214"/>
    </row>
    <row r="46" spans="1:34" ht="51">
      <c r="A46" s="213" t="s">
        <v>70</v>
      </c>
      <c r="B46" s="214" t="s">
        <v>1763</v>
      </c>
      <c r="C46" s="214" t="s">
        <v>2341</v>
      </c>
      <c r="D46" s="214" t="s">
        <v>2342</v>
      </c>
      <c r="E46" s="214" t="s">
        <v>2343</v>
      </c>
      <c r="F46" s="314" t="s">
        <v>2365</v>
      </c>
      <c r="H46" s="319" t="s">
        <v>2370</v>
      </c>
      <c r="I46" s="214"/>
      <c r="J46" s="317" t="s">
        <v>0</v>
      </c>
      <c r="K46" s="214"/>
      <c r="L46" s="316" t="s">
        <v>275</v>
      </c>
      <c r="M46" s="214"/>
      <c r="N46" s="214"/>
      <c r="O46" s="214"/>
      <c r="P46" s="214"/>
      <c r="Q46" s="316" t="s">
        <v>294</v>
      </c>
      <c r="R46" s="214" t="s">
        <v>2341</v>
      </c>
      <c r="S46" s="214" t="s">
        <v>2342</v>
      </c>
      <c r="T46" s="214" t="s">
        <v>2340</v>
      </c>
      <c r="U46" s="316" t="s">
        <v>294</v>
      </c>
      <c r="V46" s="214">
        <v>2690</v>
      </c>
      <c r="W46" s="213">
        <v>4954429</v>
      </c>
      <c r="X46" s="214" t="str">
        <f>LEFT(F46,7)</f>
        <v>PJ60261</v>
      </c>
      <c r="Y46" s="214" t="s">
        <v>2189</v>
      </c>
      <c r="Z46" s="316" t="s">
        <v>294</v>
      </c>
      <c r="AA46" s="214" t="str">
        <f t="shared" si="12"/>
        <v>PJ60262</v>
      </c>
      <c r="AB46" s="214" t="s">
        <v>2190</v>
      </c>
      <c r="AC46" s="316" t="s">
        <v>294</v>
      </c>
      <c r="AD46" s="214">
        <v>4352</v>
      </c>
      <c r="AE46" s="214">
        <v>4954431</v>
      </c>
      <c r="AF46" s="214" t="s">
        <v>330</v>
      </c>
      <c r="AG46" s="214" t="s">
        <v>413</v>
      </c>
      <c r="AH46" s="214"/>
    </row>
    <row r="47" spans="1:34" ht="25.5">
      <c r="A47" s="213" t="s">
        <v>70</v>
      </c>
      <c r="B47" s="214" t="s">
        <v>1763</v>
      </c>
      <c r="C47" s="214" t="s">
        <v>2345</v>
      </c>
      <c r="D47" s="214" t="s">
        <v>2346</v>
      </c>
      <c r="E47" s="214" t="s">
        <v>2347</v>
      </c>
      <c r="F47" s="314" t="s">
        <v>2366</v>
      </c>
      <c r="H47" s="215" t="s">
        <v>2361</v>
      </c>
      <c r="I47" s="214"/>
      <c r="J47" s="317" t="s">
        <v>0</v>
      </c>
      <c r="K47" s="214"/>
      <c r="L47" s="316" t="s">
        <v>275</v>
      </c>
      <c r="M47" s="214"/>
      <c r="N47" s="214"/>
      <c r="O47" s="214"/>
      <c r="P47" s="214"/>
      <c r="Q47" s="316" t="s">
        <v>294</v>
      </c>
      <c r="R47" s="214" t="s">
        <v>2345</v>
      </c>
      <c r="S47" s="214" t="s">
        <v>2346</v>
      </c>
      <c r="T47" s="214" t="s">
        <v>2344</v>
      </c>
      <c r="U47" s="316" t="s">
        <v>294</v>
      </c>
      <c r="V47" s="214">
        <v>2690</v>
      </c>
      <c r="W47" s="213">
        <v>4954429</v>
      </c>
      <c r="X47" s="214" t="str">
        <f>LEFT(F47,7)</f>
        <v>PJ60263</v>
      </c>
      <c r="Y47" s="214" t="s">
        <v>2191</v>
      </c>
      <c r="Z47" s="316" t="s">
        <v>294</v>
      </c>
      <c r="AA47" s="214" t="str">
        <f t="shared" si="12"/>
        <v>PJ60264</v>
      </c>
      <c r="AB47" s="214" t="s">
        <v>2192</v>
      </c>
      <c r="AC47" s="316" t="s">
        <v>294</v>
      </c>
      <c r="AD47" s="214">
        <v>4352</v>
      </c>
      <c r="AE47" s="214">
        <v>4954431</v>
      </c>
      <c r="AF47" s="214" t="s">
        <v>330</v>
      </c>
      <c r="AG47" s="214" t="s">
        <v>413</v>
      </c>
      <c r="AH47" s="214"/>
    </row>
    <row r="48" spans="1:34" ht="51">
      <c r="A48" s="185" t="s">
        <v>70</v>
      </c>
      <c r="B48" s="310" t="s">
        <v>1763</v>
      </c>
      <c r="C48" s="310" t="s">
        <v>2349</v>
      </c>
      <c r="D48" s="310" t="s">
        <v>2350</v>
      </c>
      <c r="E48" s="310" t="s">
        <v>2351</v>
      </c>
      <c r="F48" s="315" t="s">
        <v>2367</v>
      </c>
      <c r="G48" s="311"/>
      <c r="H48" s="319" t="s">
        <v>2369</v>
      </c>
      <c r="I48" s="310"/>
      <c r="J48" s="317" t="s">
        <v>0</v>
      </c>
      <c r="K48" s="310"/>
      <c r="L48" s="317" t="s">
        <v>275</v>
      </c>
      <c r="M48" s="310"/>
      <c r="N48" s="310"/>
      <c r="O48" s="310"/>
      <c r="P48" s="310"/>
      <c r="Q48" s="317" t="s">
        <v>294</v>
      </c>
      <c r="R48" s="310" t="s">
        <v>2349</v>
      </c>
      <c r="S48" s="310" t="s">
        <v>2350</v>
      </c>
      <c r="T48" s="310" t="s">
        <v>2348</v>
      </c>
      <c r="U48" s="317" t="s">
        <v>294</v>
      </c>
      <c r="V48" s="310">
        <v>2690</v>
      </c>
      <c r="W48" s="185">
        <v>4954429</v>
      </c>
      <c r="X48" s="310" t="str">
        <f>LEFT(F48,7)</f>
        <v>PJ60265</v>
      </c>
      <c r="Y48" s="310" t="s">
        <v>2193</v>
      </c>
      <c r="Z48" s="317" t="s">
        <v>294</v>
      </c>
      <c r="AA48" s="310" t="str">
        <f t="shared" si="12"/>
        <v>PJ60266</v>
      </c>
      <c r="AB48" s="310" t="s">
        <v>2194</v>
      </c>
      <c r="AC48" s="317" t="s">
        <v>294</v>
      </c>
      <c r="AD48" s="310">
        <v>4352</v>
      </c>
      <c r="AE48" s="310">
        <v>4954431</v>
      </c>
      <c r="AF48" s="310" t="s">
        <v>330</v>
      </c>
      <c r="AG48" s="310" t="s">
        <v>413</v>
      </c>
      <c r="AH48" s="310"/>
    </row>
    <row r="49" spans="1:34" ht="38.25">
      <c r="A49" s="185" t="s">
        <v>70</v>
      </c>
      <c r="B49" s="317" t="s">
        <v>1763</v>
      </c>
      <c r="C49" s="310" t="s">
        <v>2418</v>
      </c>
      <c r="D49" s="310" t="s">
        <v>2419</v>
      </c>
      <c r="E49" s="310" t="s">
        <v>2420</v>
      </c>
      <c r="F49" s="315" t="s">
        <v>2431</v>
      </c>
      <c r="H49" s="367" t="s">
        <v>2435</v>
      </c>
      <c r="I49" s="310" t="s">
        <v>2432</v>
      </c>
      <c r="J49" s="317" t="s">
        <v>0</v>
      </c>
      <c r="K49" s="310"/>
      <c r="L49" s="317" t="s">
        <v>275</v>
      </c>
      <c r="M49" s="310"/>
      <c r="N49" s="310"/>
      <c r="O49" s="310"/>
      <c r="P49" s="310"/>
      <c r="Q49" s="317" t="s">
        <v>294</v>
      </c>
      <c r="R49" s="310" t="s">
        <v>2418</v>
      </c>
      <c r="S49" s="310" t="s">
        <v>2419</v>
      </c>
      <c r="T49" s="310" t="s">
        <v>2417</v>
      </c>
      <c r="U49" s="317" t="s">
        <v>294</v>
      </c>
      <c r="V49" s="310">
        <v>2690</v>
      </c>
      <c r="W49" s="185" t="s">
        <v>1164</v>
      </c>
      <c r="X49" s="310" t="str">
        <f>LEFT(F49,7)</f>
        <v>PJ60331</v>
      </c>
      <c r="Y49" s="310" t="s">
        <v>2422</v>
      </c>
      <c r="Z49" s="317" t="s">
        <v>294</v>
      </c>
      <c r="AA49" s="310" t="str">
        <f>IF(AG49="VEE", RIGHT(F49,7),"n/a")</f>
        <v>PJ60332</v>
      </c>
      <c r="AB49" s="310" t="s">
        <v>2423</v>
      </c>
      <c r="AC49" s="317" t="s">
        <v>294</v>
      </c>
      <c r="AD49" s="310">
        <v>4352</v>
      </c>
      <c r="AE49" s="310">
        <v>4954431</v>
      </c>
      <c r="AF49" s="310" t="s">
        <v>330</v>
      </c>
      <c r="AG49" s="310" t="s">
        <v>413</v>
      </c>
      <c r="AH49" s="310" t="s">
        <v>1394</v>
      </c>
    </row>
    <row r="50" spans="1:34" ht="51.75" customHeight="1">
      <c r="A50" s="185" t="s">
        <v>70</v>
      </c>
      <c r="B50" s="317" t="s">
        <v>1763</v>
      </c>
      <c r="C50" s="310" t="s">
        <v>2418</v>
      </c>
      <c r="D50" s="310" t="s">
        <v>2419</v>
      </c>
      <c r="E50" s="310" t="s">
        <v>2420</v>
      </c>
      <c r="F50" s="315" t="s">
        <v>2434</v>
      </c>
      <c r="H50" s="367" t="s">
        <v>2436</v>
      </c>
      <c r="I50" s="310" t="s">
        <v>2432</v>
      </c>
      <c r="J50" s="317" t="s">
        <v>0</v>
      </c>
      <c r="K50" s="310"/>
      <c r="L50" s="317" t="s">
        <v>277</v>
      </c>
      <c r="M50" s="310"/>
      <c r="N50" s="310"/>
      <c r="O50" s="310"/>
      <c r="P50" s="310"/>
      <c r="Q50" s="317" t="s">
        <v>294</v>
      </c>
      <c r="R50" s="310" t="s">
        <v>2418</v>
      </c>
      <c r="S50" s="310" t="s">
        <v>2419</v>
      </c>
      <c r="T50" s="310" t="s">
        <v>2417</v>
      </c>
      <c r="U50" s="317" t="s">
        <v>294</v>
      </c>
      <c r="V50" s="310">
        <v>2690</v>
      </c>
      <c r="W50" s="185" t="s">
        <v>1164</v>
      </c>
      <c r="X50" s="310" t="str">
        <f>LEFT(F50,7)</f>
        <v>PJ60333</v>
      </c>
      <c r="Y50" s="317" t="s">
        <v>2424</v>
      </c>
      <c r="Z50" s="317" t="s">
        <v>294</v>
      </c>
      <c r="AA50" s="310" t="str">
        <f>IF(AG50="VEE", RIGHT(F50,7),"n/a")</f>
        <v>PJ60334</v>
      </c>
      <c r="AB50" s="317" t="s">
        <v>2425</v>
      </c>
      <c r="AC50" s="317" t="s">
        <v>294</v>
      </c>
      <c r="AD50" s="310">
        <v>4352</v>
      </c>
      <c r="AE50" s="310">
        <v>4954431</v>
      </c>
      <c r="AF50" s="310" t="s">
        <v>330</v>
      </c>
      <c r="AG50" s="310" t="s">
        <v>413</v>
      </c>
      <c r="AH50" s="310" t="s">
        <v>1394</v>
      </c>
    </row>
    <row r="51" spans="1:34" ht="51" customHeight="1">
      <c r="A51" s="5" t="s">
        <v>73</v>
      </c>
      <c r="B51" s="23" t="s">
        <v>1763</v>
      </c>
      <c r="C51" s="7" t="s">
        <v>95</v>
      </c>
      <c r="D51" s="7" t="s">
        <v>209</v>
      </c>
      <c r="E51" s="7" t="s">
        <v>257</v>
      </c>
      <c r="F51" s="23" t="s">
        <v>1414</v>
      </c>
      <c r="G51" s="5"/>
      <c r="H51" s="15" t="s">
        <v>281</v>
      </c>
      <c r="I51" s="188"/>
      <c r="J51" s="292" t="s">
        <v>0</v>
      </c>
      <c r="K51" s="5"/>
      <c r="L51" s="309" t="s">
        <v>275</v>
      </c>
      <c r="M51" s="357" t="s">
        <v>101</v>
      </c>
      <c r="N51" s="358" t="s">
        <v>72</v>
      </c>
      <c r="O51" s="359" t="s">
        <v>71</v>
      </c>
      <c r="P51" s="352" t="s">
        <v>71</v>
      </c>
      <c r="Q51" s="7">
        <v>1</v>
      </c>
      <c r="R51" s="7" t="str">
        <f t="shared" ref="R51:R67" si="13">C51</f>
        <v>SC60740</v>
      </c>
      <c r="S51" s="7" t="s">
        <v>209</v>
      </c>
      <c r="T51" s="289" t="s">
        <v>2299</v>
      </c>
      <c r="U51" s="93" t="s">
        <v>294</v>
      </c>
      <c r="V51" s="323">
        <v>2690</v>
      </c>
      <c r="W51" s="303" t="s">
        <v>582</v>
      </c>
      <c r="X51" s="41" t="s">
        <v>1626</v>
      </c>
      <c r="Y51" s="294" t="s">
        <v>2176</v>
      </c>
      <c r="Z51" s="41">
        <v>2896237</v>
      </c>
      <c r="AA51" s="41" t="s">
        <v>1627</v>
      </c>
      <c r="AB51" s="294" t="s">
        <v>2177</v>
      </c>
      <c r="AC51" s="41">
        <v>2896238</v>
      </c>
      <c r="AD51" s="41">
        <v>4352</v>
      </c>
      <c r="AE51" s="41" t="s">
        <v>583</v>
      </c>
      <c r="AF51" s="170" t="s">
        <v>330</v>
      </c>
      <c r="AG51" s="170" t="s">
        <v>413</v>
      </c>
      <c r="AH51" s="50" t="s">
        <v>271</v>
      </c>
    </row>
    <row r="52" spans="1:34" ht="51" customHeight="1">
      <c r="A52" s="23" t="s">
        <v>73</v>
      </c>
      <c r="B52" s="23" t="s">
        <v>1763</v>
      </c>
      <c r="C52" s="7" t="s">
        <v>96</v>
      </c>
      <c r="D52" s="7" t="s">
        <v>210</v>
      </c>
      <c r="E52" s="7" t="s">
        <v>258</v>
      </c>
      <c r="F52" s="305" t="s">
        <v>1416</v>
      </c>
      <c r="G52" s="5"/>
      <c r="H52" s="15" t="s">
        <v>282</v>
      </c>
      <c r="I52" s="188"/>
      <c r="J52" s="292" t="s">
        <v>0</v>
      </c>
      <c r="K52" s="5"/>
      <c r="L52" s="23" t="s">
        <v>275</v>
      </c>
      <c r="M52" s="357"/>
      <c r="N52" s="358"/>
      <c r="O52" s="359"/>
      <c r="P52" s="352"/>
      <c r="Q52" s="7">
        <v>2</v>
      </c>
      <c r="R52" s="7" t="str">
        <f t="shared" si="13"/>
        <v>SC60741</v>
      </c>
      <c r="S52" s="7" t="s">
        <v>210</v>
      </c>
      <c r="T52" s="289" t="s">
        <v>2300</v>
      </c>
      <c r="U52" s="93" t="s">
        <v>294</v>
      </c>
      <c r="V52" s="323">
        <v>2690</v>
      </c>
      <c r="W52" s="303" t="s">
        <v>582</v>
      </c>
      <c r="X52" s="41" t="s">
        <v>1635</v>
      </c>
      <c r="Y52" s="41" t="s">
        <v>1632</v>
      </c>
      <c r="Z52" s="41">
        <v>2896241</v>
      </c>
      <c r="AA52" s="41" t="s">
        <v>1633</v>
      </c>
      <c r="AB52" s="41" t="s">
        <v>1634</v>
      </c>
      <c r="AC52" s="41">
        <v>2896242</v>
      </c>
      <c r="AD52" s="41">
        <v>4352</v>
      </c>
      <c r="AE52" s="41" t="s">
        <v>604</v>
      </c>
      <c r="AF52" s="170" t="s">
        <v>330</v>
      </c>
      <c r="AG52" s="170" t="s">
        <v>413</v>
      </c>
      <c r="AH52" s="50" t="s">
        <v>271</v>
      </c>
    </row>
    <row r="53" spans="1:34" ht="51" customHeight="1">
      <c r="A53" s="5" t="s">
        <v>73</v>
      </c>
      <c r="B53" s="23" t="s">
        <v>1763</v>
      </c>
      <c r="C53" s="7" t="s">
        <v>97</v>
      </c>
      <c r="D53" s="7" t="s">
        <v>211</v>
      </c>
      <c r="E53" s="7" t="s">
        <v>259</v>
      </c>
      <c r="F53" s="305" t="s">
        <v>1417</v>
      </c>
      <c r="G53" s="5"/>
      <c r="H53" s="15" t="s">
        <v>283</v>
      </c>
      <c r="I53" s="188"/>
      <c r="J53" s="292" t="s">
        <v>0</v>
      </c>
      <c r="K53" s="5"/>
      <c r="L53" s="23" t="s">
        <v>275</v>
      </c>
      <c r="M53" s="357"/>
      <c r="N53" s="358"/>
      <c r="O53" s="359"/>
      <c r="P53" s="352"/>
      <c r="Q53" s="7">
        <v>3</v>
      </c>
      <c r="R53" s="7" t="str">
        <f t="shared" si="13"/>
        <v>SC60742</v>
      </c>
      <c r="S53" s="7" t="s">
        <v>211</v>
      </c>
      <c r="T53" s="289" t="s">
        <v>2301</v>
      </c>
      <c r="U53" s="93" t="s">
        <v>294</v>
      </c>
      <c r="V53" s="323">
        <v>2690</v>
      </c>
      <c r="W53" s="303" t="s">
        <v>582</v>
      </c>
      <c r="X53" s="41" t="s">
        <v>1636</v>
      </c>
      <c r="Y53" s="41" t="s">
        <v>1637</v>
      </c>
      <c r="Z53" s="41">
        <v>2896243</v>
      </c>
      <c r="AA53" s="41" t="s">
        <v>1638</v>
      </c>
      <c r="AB53" s="41" t="s">
        <v>1639</v>
      </c>
      <c r="AC53" s="41">
        <v>2896244</v>
      </c>
      <c r="AD53" s="41">
        <v>4352</v>
      </c>
      <c r="AE53" s="41" t="s">
        <v>605</v>
      </c>
      <c r="AF53" s="170" t="s">
        <v>330</v>
      </c>
      <c r="AG53" s="170" t="s">
        <v>413</v>
      </c>
      <c r="AH53" s="50" t="s">
        <v>271</v>
      </c>
    </row>
    <row r="54" spans="1:34" ht="51" customHeight="1">
      <c r="A54" s="5" t="s">
        <v>73</v>
      </c>
      <c r="B54" s="23" t="s">
        <v>1763</v>
      </c>
      <c r="C54" s="7" t="s">
        <v>98</v>
      </c>
      <c r="D54" s="7" t="s">
        <v>212</v>
      </c>
      <c r="E54" s="7" t="s">
        <v>260</v>
      </c>
      <c r="F54" s="305" t="s">
        <v>1415</v>
      </c>
      <c r="G54" s="5"/>
      <c r="H54" s="15" t="s">
        <v>284</v>
      </c>
      <c r="I54" s="188"/>
      <c r="J54" s="292" t="s">
        <v>0</v>
      </c>
      <c r="K54" s="5"/>
      <c r="L54" s="23" t="s">
        <v>275</v>
      </c>
      <c r="M54" s="357"/>
      <c r="N54" s="358"/>
      <c r="O54" s="359"/>
      <c r="P54" s="352"/>
      <c r="Q54" s="7">
        <v>4</v>
      </c>
      <c r="R54" s="7" t="str">
        <f t="shared" si="13"/>
        <v>SC60743</v>
      </c>
      <c r="S54" s="7" t="s">
        <v>212</v>
      </c>
      <c r="T54" s="289" t="s">
        <v>2302</v>
      </c>
      <c r="U54" s="93" t="s">
        <v>294</v>
      </c>
      <c r="V54" s="323">
        <v>2690</v>
      </c>
      <c r="W54" s="303" t="s">
        <v>582</v>
      </c>
      <c r="X54" s="41" t="s">
        <v>1628</v>
      </c>
      <c r="Y54" s="41" t="s">
        <v>1631</v>
      </c>
      <c r="Z54" s="41">
        <v>2896239</v>
      </c>
      <c r="AA54" s="41" t="s">
        <v>1629</v>
      </c>
      <c r="AB54" s="41" t="s">
        <v>1630</v>
      </c>
      <c r="AC54" s="41">
        <v>2896240</v>
      </c>
      <c r="AD54" s="41">
        <v>4352</v>
      </c>
      <c r="AE54" s="41" t="s">
        <v>606</v>
      </c>
      <c r="AF54" s="170" t="s">
        <v>330</v>
      </c>
      <c r="AG54" s="170" t="s">
        <v>413</v>
      </c>
      <c r="AH54" s="50" t="s">
        <v>271</v>
      </c>
    </row>
    <row r="55" spans="1:34" ht="38.25" customHeight="1">
      <c r="A55" s="5" t="s">
        <v>73</v>
      </c>
      <c r="B55" s="23" t="s">
        <v>1763</v>
      </c>
      <c r="C55" s="7" t="s">
        <v>99</v>
      </c>
      <c r="D55" s="7" t="s">
        <v>213</v>
      </c>
      <c r="E55" s="7" t="s">
        <v>261</v>
      </c>
      <c r="F55" s="305" t="s">
        <v>1418</v>
      </c>
      <c r="G55" s="5"/>
      <c r="H55" s="15" t="s">
        <v>102</v>
      </c>
      <c r="I55" s="188"/>
      <c r="J55" s="292" t="s">
        <v>0</v>
      </c>
      <c r="K55" s="5"/>
      <c r="L55" s="23" t="s">
        <v>275</v>
      </c>
      <c r="M55" s="357"/>
      <c r="N55" s="358"/>
      <c r="O55" s="359"/>
      <c r="P55" s="352"/>
      <c r="Q55" s="7">
        <v>5</v>
      </c>
      <c r="R55" s="7" t="str">
        <f t="shared" si="13"/>
        <v>SC60744</v>
      </c>
      <c r="S55" s="7" t="s">
        <v>213</v>
      </c>
      <c r="T55" s="289" t="s">
        <v>2303</v>
      </c>
      <c r="U55" s="93" t="s">
        <v>294</v>
      </c>
      <c r="V55" s="323">
        <v>2690</v>
      </c>
      <c r="W55" s="303" t="s">
        <v>582</v>
      </c>
      <c r="X55" s="224" t="s">
        <v>1640</v>
      </c>
      <c r="Y55" s="41" t="s">
        <v>1641</v>
      </c>
      <c r="Z55" s="41">
        <v>2896245</v>
      </c>
      <c r="AA55" s="41" t="s">
        <v>1642</v>
      </c>
      <c r="AB55" s="41" t="s">
        <v>1643</v>
      </c>
      <c r="AC55" s="41">
        <v>2896246</v>
      </c>
      <c r="AD55" s="41">
        <v>4352</v>
      </c>
      <c r="AE55" s="41" t="s">
        <v>607</v>
      </c>
      <c r="AF55" s="170" t="s">
        <v>330</v>
      </c>
      <c r="AG55" s="170" t="s">
        <v>413</v>
      </c>
      <c r="AH55" s="50" t="s">
        <v>271</v>
      </c>
    </row>
    <row r="56" spans="1:34" ht="51" customHeight="1">
      <c r="A56" s="5" t="s">
        <v>73</v>
      </c>
      <c r="B56" s="23" t="s">
        <v>1763</v>
      </c>
      <c r="C56" s="7" t="s">
        <v>104</v>
      </c>
      <c r="D56" s="7" t="s">
        <v>214</v>
      </c>
      <c r="E56" s="7" t="s">
        <v>262</v>
      </c>
      <c r="F56" s="305" t="s">
        <v>1618</v>
      </c>
      <c r="G56" s="5"/>
      <c r="H56" s="15" t="s">
        <v>281</v>
      </c>
      <c r="I56" s="188"/>
      <c r="J56" s="292" t="s">
        <v>103</v>
      </c>
      <c r="K56" s="5"/>
      <c r="L56" s="23" t="s">
        <v>277</v>
      </c>
      <c r="M56" s="363" t="s">
        <v>109</v>
      </c>
      <c r="N56" s="358" t="s">
        <v>72</v>
      </c>
      <c r="O56" s="359" t="s">
        <v>71</v>
      </c>
      <c r="P56" s="352" t="s">
        <v>71</v>
      </c>
      <c r="Q56" s="7">
        <v>1</v>
      </c>
      <c r="R56" s="7" t="str">
        <f t="shared" si="13"/>
        <v>SC60302</v>
      </c>
      <c r="S56" s="7" t="s">
        <v>214</v>
      </c>
      <c r="T56" s="267" t="s">
        <v>1814</v>
      </c>
      <c r="U56" s="7">
        <v>4309870</v>
      </c>
      <c r="V56" s="323">
        <v>2652</v>
      </c>
      <c r="W56" s="303">
        <v>4954429</v>
      </c>
      <c r="X56" s="41" t="str">
        <f>LEFT(F56,7)</f>
        <v>PJ06832</v>
      </c>
      <c r="Y56" s="41" t="s">
        <v>1833</v>
      </c>
      <c r="Z56" s="41">
        <v>2896308</v>
      </c>
      <c r="AA56" s="41" t="str">
        <f>IF(AG56="VEE", RIGHT(F56,7),"n/a")</f>
        <v>PJ06833</v>
      </c>
      <c r="AB56" s="41" t="s">
        <v>1834</v>
      </c>
      <c r="AC56" s="41">
        <v>2896309</v>
      </c>
      <c r="AD56" s="41">
        <v>4225</v>
      </c>
      <c r="AE56" s="41">
        <v>4954435</v>
      </c>
      <c r="AF56" s="170" t="s">
        <v>330</v>
      </c>
      <c r="AG56" s="170" t="s">
        <v>413</v>
      </c>
      <c r="AH56" s="50" t="s">
        <v>271</v>
      </c>
    </row>
    <row r="57" spans="1:34" ht="25.5" customHeight="1">
      <c r="A57" s="5" t="s">
        <v>73</v>
      </c>
      <c r="B57" s="23" t="s">
        <v>1763</v>
      </c>
      <c r="C57" s="7" t="s">
        <v>105</v>
      </c>
      <c r="D57" s="7" t="s">
        <v>215</v>
      </c>
      <c r="E57" s="170" t="s">
        <v>263</v>
      </c>
      <c r="F57" s="305" t="s">
        <v>1419</v>
      </c>
      <c r="G57" s="41"/>
      <c r="H57" s="15" t="s">
        <v>282</v>
      </c>
      <c r="I57" s="188"/>
      <c r="J57" s="292" t="s">
        <v>103</v>
      </c>
      <c r="K57" s="5"/>
      <c r="L57" s="23" t="s">
        <v>275</v>
      </c>
      <c r="M57" s="363"/>
      <c r="N57" s="358"/>
      <c r="O57" s="359"/>
      <c r="P57" s="352"/>
      <c r="Q57" s="7">
        <v>2</v>
      </c>
      <c r="R57" s="7" t="str">
        <f t="shared" si="13"/>
        <v>SC60303</v>
      </c>
      <c r="S57" s="7" t="s">
        <v>215</v>
      </c>
      <c r="T57" s="190" t="s">
        <v>2051</v>
      </c>
      <c r="U57" s="93" t="s">
        <v>294</v>
      </c>
      <c r="V57" s="323">
        <v>2663</v>
      </c>
      <c r="W57" s="23" t="s">
        <v>1164</v>
      </c>
      <c r="X57" s="41" t="s">
        <v>1644</v>
      </c>
      <c r="Y57" s="41" t="s">
        <v>1645</v>
      </c>
      <c r="Z57" s="41">
        <v>2896247</v>
      </c>
      <c r="AA57" s="41" t="s">
        <v>1646</v>
      </c>
      <c r="AB57" s="41" t="s">
        <v>1647</v>
      </c>
      <c r="AC57" s="41">
        <v>2896248</v>
      </c>
      <c r="AD57" s="41">
        <v>4225</v>
      </c>
      <c r="AE57" s="41" t="s">
        <v>607</v>
      </c>
      <c r="AF57" s="170" t="s">
        <v>330</v>
      </c>
      <c r="AG57" s="170" t="s">
        <v>413</v>
      </c>
      <c r="AH57" s="50" t="s">
        <v>271</v>
      </c>
    </row>
    <row r="58" spans="1:34" ht="51" customHeight="1">
      <c r="A58" s="5" t="s">
        <v>73</v>
      </c>
      <c r="B58" s="23" t="s">
        <v>1763</v>
      </c>
      <c r="C58" s="7" t="s">
        <v>106</v>
      </c>
      <c r="D58" s="7" t="s">
        <v>216</v>
      </c>
      <c r="E58" s="7" t="s">
        <v>264</v>
      </c>
      <c r="F58" s="305" t="s">
        <v>1619</v>
      </c>
      <c r="G58" s="5"/>
      <c r="H58" s="15" t="s">
        <v>283</v>
      </c>
      <c r="I58" s="188"/>
      <c r="J58" s="292" t="s">
        <v>103</v>
      </c>
      <c r="K58" s="5"/>
      <c r="L58" s="23" t="s">
        <v>277</v>
      </c>
      <c r="M58" s="363"/>
      <c r="N58" s="358"/>
      <c r="O58" s="359"/>
      <c r="P58" s="352"/>
      <c r="Q58" s="7">
        <v>3</v>
      </c>
      <c r="R58" s="7" t="str">
        <f t="shared" si="13"/>
        <v>SC60304</v>
      </c>
      <c r="S58" s="7" t="s">
        <v>216</v>
      </c>
      <c r="T58" s="267" t="s">
        <v>1815</v>
      </c>
      <c r="U58" s="7">
        <v>4309868</v>
      </c>
      <c r="V58" s="323">
        <v>2652</v>
      </c>
      <c r="W58" s="303">
        <v>4954429</v>
      </c>
      <c r="X58" s="41" t="str">
        <f>LEFT(F58,7)</f>
        <v>PJ06836</v>
      </c>
      <c r="Y58" s="41" t="s">
        <v>1837</v>
      </c>
      <c r="Z58" s="224">
        <v>2896310</v>
      </c>
      <c r="AA58" s="41" t="str">
        <f>IF(AG58="VEE", RIGHT(F58,7),"n/a")</f>
        <v>PJ06837</v>
      </c>
      <c r="AB58" s="41" t="s">
        <v>1838</v>
      </c>
      <c r="AC58" s="224">
        <v>2896311</v>
      </c>
      <c r="AD58" s="41">
        <v>4225</v>
      </c>
      <c r="AE58" s="41">
        <v>4954435</v>
      </c>
      <c r="AF58" s="170" t="s">
        <v>330</v>
      </c>
      <c r="AG58" s="170" t="s">
        <v>413</v>
      </c>
      <c r="AH58" s="50" t="s">
        <v>271</v>
      </c>
    </row>
    <row r="59" spans="1:34" ht="51" customHeight="1">
      <c r="A59" s="5" t="s">
        <v>73</v>
      </c>
      <c r="B59" s="23" t="s">
        <v>1763</v>
      </c>
      <c r="C59" s="7" t="s">
        <v>107</v>
      </c>
      <c r="D59" s="7" t="s">
        <v>217</v>
      </c>
      <c r="E59" s="7" t="s">
        <v>265</v>
      </c>
      <c r="F59" s="305" t="s">
        <v>1620</v>
      </c>
      <c r="G59" s="41"/>
      <c r="H59" s="15" t="s">
        <v>284</v>
      </c>
      <c r="I59" s="188"/>
      <c r="J59" s="292" t="s">
        <v>103</v>
      </c>
      <c r="K59" s="5"/>
      <c r="L59" s="23" t="s">
        <v>277</v>
      </c>
      <c r="M59" s="363"/>
      <c r="N59" s="358"/>
      <c r="O59" s="359"/>
      <c r="P59" s="352"/>
      <c r="Q59" s="7">
        <v>4</v>
      </c>
      <c r="R59" s="7" t="str">
        <f t="shared" si="13"/>
        <v>SC60305</v>
      </c>
      <c r="S59" s="7" t="str">
        <f>D59</f>
        <v>DO06886</v>
      </c>
      <c r="T59" s="267" t="s">
        <v>1816</v>
      </c>
      <c r="U59" s="7">
        <v>4309866</v>
      </c>
      <c r="V59" s="323">
        <v>2652</v>
      </c>
      <c r="W59" s="303">
        <v>4954429</v>
      </c>
      <c r="X59" s="41" t="str">
        <f>LEFT(F59,7)</f>
        <v>PJ60129</v>
      </c>
      <c r="Y59" s="41" t="s">
        <v>1929</v>
      </c>
      <c r="Z59" s="41">
        <v>2896312</v>
      </c>
      <c r="AA59" s="41" t="str">
        <f>IF(AG59="VEE", RIGHT(F59,7),"n/a")</f>
        <v>PJ60130</v>
      </c>
      <c r="AB59" s="41" t="s">
        <v>1930</v>
      </c>
      <c r="AC59" s="41">
        <v>2896313</v>
      </c>
      <c r="AD59" s="41">
        <v>4225</v>
      </c>
      <c r="AE59" s="41">
        <v>4954435</v>
      </c>
      <c r="AF59" s="170" t="s">
        <v>330</v>
      </c>
      <c r="AG59" s="170" t="s">
        <v>413</v>
      </c>
      <c r="AH59" s="50" t="s">
        <v>271</v>
      </c>
    </row>
    <row r="60" spans="1:34" ht="51" customHeight="1">
      <c r="A60" s="5" t="s">
        <v>73</v>
      </c>
      <c r="B60" s="23" t="s">
        <v>1763</v>
      </c>
      <c r="C60" s="7" t="s">
        <v>108</v>
      </c>
      <c r="D60" s="7" t="s">
        <v>218</v>
      </c>
      <c r="E60" s="7" t="s">
        <v>266</v>
      </c>
      <c r="F60" s="305" t="s">
        <v>1420</v>
      </c>
      <c r="G60" s="5"/>
      <c r="H60" s="15" t="s">
        <v>102</v>
      </c>
      <c r="I60" s="188"/>
      <c r="J60" s="292" t="s">
        <v>103</v>
      </c>
      <c r="K60" s="5"/>
      <c r="L60" s="23" t="s">
        <v>275</v>
      </c>
      <c r="M60" s="363"/>
      <c r="N60" s="358"/>
      <c r="O60" s="359"/>
      <c r="P60" s="352"/>
      <c r="Q60" s="7">
        <v>5</v>
      </c>
      <c r="R60" s="7" t="str">
        <f t="shared" si="13"/>
        <v>SC60306</v>
      </c>
      <c r="S60" s="7" t="s">
        <v>218</v>
      </c>
      <c r="T60" s="267" t="s">
        <v>1817</v>
      </c>
      <c r="U60" s="93" t="s">
        <v>294</v>
      </c>
      <c r="V60" s="323">
        <v>2663</v>
      </c>
      <c r="W60" s="303">
        <v>4954429</v>
      </c>
      <c r="X60" s="294" t="s">
        <v>2178</v>
      </c>
      <c r="Y60" s="41" t="s">
        <v>1648</v>
      </c>
      <c r="Z60" s="41">
        <v>2896249</v>
      </c>
      <c r="AA60" s="41" t="s">
        <v>1649</v>
      </c>
      <c r="AB60" s="41" t="s">
        <v>1650</v>
      </c>
      <c r="AC60" s="41">
        <v>2896250</v>
      </c>
      <c r="AD60" s="41">
        <v>4225</v>
      </c>
      <c r="AE60" s="41" t="s">
        <v>607</v>
      </c>
      <c r="AF60" s="170" t="s">
        <v>330</v>
      </c>
      <c r="AG60" s="170" t="s">
        <v>413</v>
      </c>
      <c r="AH60" s="50" t="s">
        <v>271</v>
      </c>
    </row>
    <row r="61" spans="1:34" ht="51">
      <c r="A61" s="5" t="s">
        <v>73</v>
      </c>
      <c r="B61" s="23" t="s">
        <v>1763</v>
      </c>
      <c r="C61" s="7" t="s">
        <v>110</v>
      </c>
      <c r="D61" s="7" t="s">
        <v>111</v>
      </c>
      <c r="E61" s="7" t="s">
        <v>257</v>
      </c>
      <c r="F61" s="23" t="s">
        <v>1414</v>
      </c>
      <c r="G61" s="5"/>
      <c r="H61" s="15" t="s">
        <v>281</v>
      </c>
      <c r="I61" s="188"/>
      <c r="J61" s="292" t="s">
        <v>11</v>
      </c>
      <c r="K61" s="5"/>
      <c r="L61" s="23" t="s">
        <v>275</v>
      </c>
      <c r="M61" s="357" t="s">
        <v>101</v>
      </c>
      <c r="N61" s="358" t="s">
        <v>72</v>
      </c>
      <c r="O61" s="359" t="s">
        <v>71</v>
      </c>
      <c r="P61" s="352" t="s">
        <v>71</v>
      </c>
      <c r="Q61" s="7">
        <v>1</v>
      </c>
      <c r="R61" s="7" t="str">
        <f t="shared" si="13"/>
        <v>SC60735</v>
      </c>
      <c r="S61" s="7" t="s">
        <v>111</v>
      </c>
      <c r="T61" s="289" t="s">
        <v>2294</v>
      </c>
      <c r="U61" s="93" t="s">
        <v>294</v>
      </c>
      <c r="V61" s="323">
        <v>2690</v>
      </c>
      <c r="W61" s="303" t="s">
        <v>582</v>
      </c>
      <c r="X61" s="41" t="s">
        <v>1626</v>
      </c>
      <c r="Y61" s="294" t="s">
        <v>2176</v>
      </c>
      <c r="Z61" s="41">
        <v>2896237</v>
      </c>
      <c r="AA61" s="41" t="s">
        <v>1627</v>
      </c>
      <c r="AB61" s="294" t="s">
        <v>2177</v>
      </c>
      <c r="AC61" s="41">
        <v>2896238</v>
      </c>
      <c r="AD61" s="41">
        <v>4352</v>
      </c>
      <c r="AE61" s="41" t="s">
        <v>583</v>
      </c>
      <c r="AF61" s="170" t="s">
        <v>330</v>
      </c>
      <c r="AG61" s="170" t="s">
        <v>413</v>
      </c>
      <c r="AH61" s="50" t="s">
        <v>271</v>
      </c>
    </row>
    <row r="62" spans="1:34" ht="51" customHeight="1">
      <c r="A62" s="5" t="s">
        <v>73</v>
      </c>
      <c r="B62" s="23" t="s">
        <v>1763</v>
      </c>
      <c r="C62" s="7" t="s">
        <v>112</v>
      </c>
      <c r="D62" s="7" t="s">
        <v>219</v>
      </c>
      <c r="E62" s="7" t="s">
        <v>258</v>
      </c>
      <c r="F62" s="305" t="s">
        <v>1416</v>
      </c>
      <c r="G62" s="5"/>
      <c r="H62" s="15" t="s">
        <v>282</v>
      </c>
      <c r="I62" s="188"/>
      <c r="J62" s="292" t="s">
        <v>11</v>
      </c>
      <c r="K62" s="5"/>
      <c r="L62" s="23" t="s">
        <v>275</v>
      </c>
      <c r="M62" s="357"/>
      <c r="N62" s="358"/>
      <c r="O62" s="359"/>
      <c r="P62" s="352"/>
      <c r="Q62" s="7">
        <v>2</v>
      </c>
      <c r="R62" s="7" t="str">
        <f t="shared" si="13"/>
        <v>SC60736</v>
      </c>
      <c r="S62" s="7" t="s">
        <v>219</v>
      </c>
      <c r="T62" s="289" t="s">
        <v>2295</v>
      </c>
      <c r="U62" s="93" t="s">
        <v>294</v>
      </c>
      <c r="V62" s="323">
        <v>2690</v>
      </c>
      <c r="W62" s="303" t="s">
        <v>582</v>
      </c>
      <c r="X62" s="41" t="s">
        <v>1635</v>
      </c>
      <c r="Y62" s="41" t="s">
        <v>1632</v>
      </c>
      <c r="Z62" s="41">
        <v>2896241</v>
      </c>
      <c r="AA62" s="41" t="s">
        <v>1633</v>
      </c>
      <c r="AB62" s="41" t="s">
        <v>1634</v>
      </c>
      <c r="AC62" s="41">
        <v>2896242</v>
      </c>
      <c r="AD62" s="41">
        <v>4352</v>
      </c>
      <c r="AE62" s="41" t="s">
        <v>604</v>
      </c>
      <c r="AF62" s="170" t="s">
        <v>330</v>
      </c>
      <c r="AG62" s="170" t="s">
        <v>413</v>
      </c>
      <c r="AH62" s="50" t="s">
        <v>271</v>
      </c>
    </row>
    <row r="63" spans="1:34" ht="51" customHeight="1">
      <c r="A63" s="5" t="s">
        <v>73</v>
      </c>
      <c r="B63" s="23" t="s">
        <v>1763</v>
      </c>
      <c r="C63" s="7" t="s">
        <v>113</v>
      </c>
      <c r="D63" s="7" t="s">
        <v>220</v>
      </c>
      <c r="E63" s="7" t="s">
        <v>259</v>
      </c>
      <c r="F63" s="305" t="s">
        <v>1417</v>
      </c>
      <c r="G63" s="5"/>
      <c r="H63" s="15" t="s">
        <v>283</v>
      </c>
      <c r="I63" s="188"/>
      <c r="J63" s="292" t="s">
        <v>11</v>
      </c>
      <c r="K63" s="5"/>
      <c r="L63" s="23" t="s">
        <v>275</v>
      </c>
      <c r="M63" s="357"/>
      <c r="N63" s="358"/>
      <c r="O63" s="359"/>
      <c r="P63" s="352"/>
      <c r="Q63" s="7">
        <v>3</v>
      </c>
      <c r="R63" s="7" t="str">
        <f t="shared" si="13"/>
        <v>SC60737</v>
      </c>
      <c r="S63" s="7" t="s">
        <v>220</v>
      </c>
      <c r="T63" s="289" t="s">
        <v>2296</v>
      </c>
      <c r="U63" s="93" t="s">
        <v>294</v>
      </c>
      <c r="V63" s="323">
        <v>2690</v>
      </c>
      <c r="W63" s="303" t="s">
        <v>582</v>
      </c>
      <c r="X63" s="41" t="s">
        <v>1636</v>
      </c>
      <c r="Y63" s="41" t="s">
        <v>1637</v>
      </c>
      <c r="Z63" s="41">
        <v>2896243</v>
      </c>
      <c r="AA63" s="41" t="s">
        <v>1638</v>
      </c>
      <c r="AB63" s="41" t="s">
        <v>1639</v>
      </c>
      <c r="AC63" s="41">
        <v>2896244</v>
      </c>
      <c r="AD63" s="41">
        <v>4352</v>
      </c>
      <c r="AE63" s="41" t="s">
        <v>605</v>
      </c>
      <c r="AF63" s="170" t="s">
        <v>330</v>
      </c>
      <c r="AG63" s="170" t="s">
        <v>413</v>
      </c>
      <c r="AH63" s="50" t="s">
        <v>271</v>
      </c>
    </row>
    <row r="64" spans="1:34" ht="51" customHeight="1">
      <c r="A64" s="5" t="s">
        <v>73</v>
      </c>
      <c r="B64" s="23" t="s">
        <v>1763</v>
      </c>
      <c r="C64" s="7" t="s">
        <v>114</v>
      </c>
      <c r="D64" s="7" t="s">
        <v>221</v>
      </c>
      <c r="E64" s="7" t="s">
        <v>260</v>
      </c>
      <c r="F64" s="305" t="s">
        <v>1415</v>
      </c>
      <c r="G64" s="5"/>
      <c r="H64" s="15" t="s">
        <v>284</v>
      </c>
      <c r="I64" s="188"/>
      <c r="J64" s="292" t="s">
        <v>11</v>
      </c>
      <c r="K64" s="5"/>
      <c r="L64" s="23" t="s">
        <v>275</v>
      </c>
      <c r="M64" s="357"/>
      <c r="N64" s="358"/>
      <c r="O64" s="359"/>
      <c r="P64" s="352"/>
      <c r="Q64" s="7">
        <v>4</v>
      </c>
      <c r="R64" s="7" t="str">
        <f t="shared" si="13"/>
        <v>SC60738</v>
      </c>
      <c r="S64" s="7" t="s">
        <v>221</v>
      </c>
      <c r="T64" s="289" t="s">
        <v>2297</v>
      </c>
      <c r="U64" s="93" t="s">
        <v>294</v>
      </c>
      <c r="V64" s="323">
        <v>2690</v>
      </c>
      <c r="W64" s="303" t="s">
        <v>582</v>
      </c>
      <c r="X64" s="41" t="s">
        <v>1628</v>
      </c>
      <c r="Y64" s="41" t="s">
        <v>1631</v>
      </c>
      <c r="Z64" s="41">
        <v>2896239</v>
      </c>
      <c r="AA64" s="41" t="s">
        <v>1629</v>
      </c>
      <c r="AB64" s="41" t="s">
        <v>1630</v>
      </c>
      <c r="AC64" s="41">
        <v>2896240</v>
      </c>
      <c r="AD64" s="41">
        <v>4352</v>
      </c>
      <c r="AE64" s="41" t="s">
        <v>606</v>
      </c>
      <c r="AF64" s="170" t="s">
        <v>330</v>
      </c>
      <c r="AG64" s="170" t="s">
        <v>413</v>
      </c>
      <c r="AH64" s="50" t="s">
        <v>271</v>
      </c>
    </row>
    <row r="65" spans="1:34" ht="51" customHeight="1">
      <c r="A65" s="5" t="s">
        <v>73</v>
      </c>
      <c r="B65" s="23" t="s">
        <v>1763</v>
      </c>
      <c r="C65" s="7" t="s">
        <v>115</v>
      </c>
      <c r="D65" s="7" t="s">
        <v>222</v>
      </c>
      <c r="E65" s="7" t="s">
        <v>261</v>
      </c>
      <c r="F65" s="305" t="s">
        <v>1418</v>
      </c>
      <c r="G65" s="5"/>
      <c r="H65" s="15" t="s">
        <v>102</v>
      </c>
      <c r="I65" s="188"/>
      <c r="J65" s="292" t="s">
        <v>11</v>
      </c>
      <c r="K65" s="5"/>
      <c r="L65" s="23" t="s">
        <v>275</v>
      </c>
      <c r="M65" s="357"/>
      <c r="N65" s="358"/>
      <c r="O65" s="359"/>
      <c r="P65" s="352"/>
      <c r="Q65" s="7">
        <v>5</v>
      </c>
      <c r="R65" s="7" t="str">
        <f t="shared" si="13"/>
        <v>SC60739</v>
      </c>
      <c r="S65" s="7" t="s">
        <v>222</v>
      </c>
      <c r="T65" s="289" t="s">
        <v>2298</v>
      </c>
      <c r="U65" s="93" t="s">
        <v>294</v>
      </c>
      <c r="V65" s="323">
        <v>2690</v>
      </c>
      <c r="W65" s="303" t="s">
        <v>582</v>
      </c>
      <c r="X65" s="224" t="s">
        <v>1640</v>
      </c>
      <c r="Y65" s="41" t="s">
        <v>1641</v>
      </c>
      <c r="Z65" s="41">
        <v>2896245</v>
      </c>
      <c r="AA65" s="41" t="s">
        <v>1642</v>
      </c>
      <c r="AB65" s="41" t="s">
        <v>1643</v>
      </c>
      <c r="AC65" s="41">
        <v>2896246</v>
      </c>
      <c r="AD65" s="41">
        <v>4352</v>
      </c>
      <c r="AE65" s="41" t="s">
        <v>607</v>
      </c>
      <c r="AF65" s="170" t="s">
        <v>330</v>
      </c>
      <c r="AG65" s="170" t="s">
        <v>413</v>
      </c>
      <c r="AH65" s="50" t="s">
        <v>271</v>
      </c>
    </row>
    <row r="66" spans="1:34" ht="51" customHeight="1">
      <c r="A66" s="5" t="s">
        <v>73</v>
      </c>
      <c r="B66" s="23" t="s">
        <v>1763</v>
      </c>
      <c r="C66" s="7" t="s">
        <v>286</v>
      </c>
      <c r="D66" s="7" t="s">
        <v>287</v>
      </c>
      <c r="E66" s="238" t="s">
        <v>263</v>
      </c>
      <c r="F66" s="305" t="s">
        <v>1419</v>
      </c>
      <c r="G66" s="41"/>
      <c r="H66" s="15" t="s">
        <v>282</v>
      </c>
      <c r="I66" s="188"/>
      <c r="J66" s="292" t="s">
        <v>288</v>
      </c>
      <c r="K66" s="23" t="s">
        <v>346</v>
      </c>
      <c r="L66" s="23" t="s">
        <v>275</v>
      </c>
      <c r="M66" s="7">
        <v>2</v>
      </c>
      <c r="N66" s="184">
        <v>2652</v>
      </c>
      <c r="O66" s="184">
        <v>4225</v>
      </c>
      <c r="P66" s="189" t="s">
        <v>271</v>
      </c>
      <c r="Q66" s="7">
        <v>2</v>
      </c>
      <c r="R66" s="7" t="str">
        <f t="shared" si="13"/>
        <v>SC60507</v>
      </c>
      <c r="S66" s="7" t="s">
        <v>287</v>
      </c>
      <c r="T66" s="267" t="s">
        <v>2052</v>
      </c>
      <c r="U66" s="93" t="s">
        <v>294</v>
      </c>
      <c r="V66" s="323">
        <v>2663</v>
      </c>
      <c r="W66" s="303" t="s">
        <v>1164</v>
      </c>
      <c r="X66" s="41" t="s">
        <v>1644</v>
      </c>
      <c r="Y66" s="41" t="s">
        <v>1645</v>
      </c>
      <c r="Z66" s="41">
        <v>2896247</v>
      </c>
      <c r="AA66" s="41" t="s">
        <v>1646</v>
      </c>
      <c r="AB66" s="41" t="s">
        <v>1647</v>
      </c>
      <c r="AC66" s="41">
        <v>2896248</v>
      </c>
      <c r="AD66" s="41">
        <v>4225</v>
      </c>
      <c r="AE66" s="41" t="s">
        <v>607</v>
      </c>
      <c r="AF66" s="170" t="s">
        <v>330</v>
      </c>
      <c r="AG66" s="170" t="s">
        <v>413</v>
      </c>
      <c r="AH66" s="50" t="s">
        <v>271</v>
      </c>
    </row>
    <row r="67" spans="1:34" s="240" customFormat="1" ht="25.5" customHeight="1">
      <c r="A67" s="5" t="s">
        <v>73</v>
      </c>
      <c r="B67" s="23" t="s">
        <v>1763</v>
      </c>
      <c r="C67" s="7" t="s">
        <v>289</v>
      </c>
      <c r="D67" s="7" t="s">
        <v>290</v>
      </c>
      <c r="E67" s="7" t="s">
        <v>266</v>
      </c>
      <c r="F67" s="305" t="s">
        <v>1420</v>
      </c>
      <c r="G67" s="5"/>
      <c r="H67" s="15" t="s">
        <v>102</v>
      </c>
      <c r="I67" s="188"/>
      <c r="J67" s="292" t="s">
        <v>288</v>
      </c>
      <c r="K67" s="23" t="s">
        <v>346</v>
      </c>
      <c r="L67" s="23" t="s">
        <v>275</v>
      </c>
      <c r="M67" s="7">
        <v>5</v>
      </c>
      <c r="N67" s="184">
        <v>2652</v>
      </c>
      <c r="O67" s="184">
        <v>4225</v>
      </c>
      <c r="P67" s="189" t="s">
        <v>271</v>
      </c>
      <c r="Q67" s="7">
        <v>5</v>
      </c>
      <c r="R67" s="7" t="str">
        <f t="shared" si="13"/>
        <v>SC60581</v>
      </c>
      <c r="S67" s="7" t="s">
        <v>290</v>
      </c>
      <c r="T67" s="267" t="s">
        <v>2053</v>
      </c>
      <c r="U67" s="190" t="s">
        <v>294</v>
      </c>
      <c r="V67" s="323">
        <v>2663</v>
      </c>
      <c r="W67" s="303" t="s">
        <v>581</v>
      </c>
      <c r="X67" s="294" t="s">
        <v>2178</v>
      </c>
      <c r="Y67" s="41" t="s">
        <v>1648</v>
      </c>
      <c r="Z67" s="41">
        <v>2896249</v>
      </c>
      <c r="AA67" s="41" t="s">
        <v>1649</v>
      </c>
      <c r="AB67" s="41" t="s">
        <v>1650</v>
      </c>
      <c r="AC67" s="41">
        <v>2896250</v>
      </c>
      <c r="AD67" s="41">
        <v>4225</v>
      </c>
      <c r="AE67" s="41" t="s">
        <v>607</v>
      </c>
      <c r="AF67" s="170" t="s">
        <v>330</v>
      </c>
      <c r="AG67" s="170" t="s">
        <v>413</v>
      </c>
      <c r="AH67" s="50" t="s">
        <v>271</v>
      </c>
    </row>
    <row r="68" spans="1:34" s="240" customFormat="1" ht="38.25" customHeight="1">
      <c r="A68" s="23" t="s">
        <v>73</v>
      </c>
      <c r="B68" s="23" t="s">
        <v>1763</v>
      </c>
      <c r="C68" s="190" t="s">
        <v>535</v>
      </c>
      <c r="D68" s="190" t="s">
        <v>215</v>
      </c>
      <c r="E68" s="190" t="s">
        <v>1165</v>
      </c>
      <c r="F68" s="23" t="s">
        <v>1618</v>
      </c>
      <c r="G68" s="23"/>
      <c r="H68" s="15" t="s">
        <v>2061</v>
      </c>
      <c r="I68" s="23"/>
      <c r="J68" s="23" t="s">
        <v>103</v>
      </c>
      <c r="K68" s="23"/>
      <c r="L68" s="23" t="s">
        <v>277</v>
      </c>
      <c r="M68" s="190"/>
      <c r="N68" s="233"/>
      <c r="O68" s="233"/>
      <c r="P68" s="271"/>
      <c r="Q68" s="190">
        <v>71</v>
      </c>
      <c r="R68" s="190" t="s">
        <v>535</v>
      </c>
      <c r="S68" s="190" t="s">
        <v>215</v>
      </c>
      <c r="T68" s="190" t="s">
        <v>1166</v>
      </c>
      <c r="U68" s="190">
        <v>4309864</v>
      </c>
      <c r="V68" s="331">
        <v>2652</v>
      </c>
      <c r="W68" s="224">
        <v>4954429</v>
      </c>
      <c r="X68" s="224" t="str">
        <f t="shared" ref="X68:X75" si="14">LEFT(F68,7)</f>
        <v>PJ06832</v>
      </c>
      <c r="Y68" s="224" t="s">
        <v>1833</v>
      </c>
      <c r="Z68" s="224">
        <v>2896308</v>
      </c>
      <c r="AA68" s="224" t="str">
        <f t="shared" ref="AA68:AA87" si="15">IF(AG68="VEE", RIGHT(F68,7),"n/a")</f>
        <v>PJ06833</v>
      </c>
      <c r="AB68" s="224" t="s">
        <v>1834</v>
      </c>
      <c r="AC68" s="224">
        <v>2896309</v>
      </c>
      <c r="AD68" s="294">
        <v>4225</v>
      </c>
      <c r="AE68" s="224">
        <v>3607754</v>
      </c>
      <c r="AF68" s="93" t="s">
        <v>330</v>
      </c>
      <c r="AG68" s="93" t="s">
        <v>413</v>
      </c>
      <c r="AH68" s="272" t="s">
        <v>271</v>
      </c>
    </row>
    <row r="69" spans="1:34" s="240" customFormat="1" ht="51" customHeight="1">
      <c r="A69" s="23" t="s">
        <v>73</v>
      </c>
      <c r="B69" s="23" t="s">
        <v>1763</v>
      </c>
      <c r="C69" s="190" t="s">
        <v>108</v>
      </c>
      <c r="D69" s="190" t="s">
        <v>215</v>
      </c>
      <c r="E69" s="190" t="s">
        <v>266</v>
      </c>
      <c r="F69" s="305" t="s">
        <v>1420</v>
      </c>
      <c r="G69" s="23"/>
      <c r="H69" s="15" t="s">
        <v>102</v>
      </c>
      <c r="I69" s="23"/>
      <c r="J69" s="23" t="s">
        <v>103</v>
      </c>
      <c r="K69" s="23"/>
      <c r="L69" s="23" t="s">
        <v>275</v>
      </c>
      <c r="M69" s="190"/>
      <c r="N69" s="233"/>
      <c r="O69" s="233"/>
      <c r="P69" s="271"/>
      <c r="Q69" s="190">
        <v>5</v>
      </c>
      <c r="R69" s="190" t="s">
        <v>108</v>
      </c>
      <c r="S69" s="190" t="s">
        <v>215</v>
      </c>
      <c r="T69" s="190" t="s">
        <v>1167</v>
      </c>
      <c r="U69" s="190">
        <v>4309865</v>
      </c>
      <c r="V69" s="323">
        <v>2663</v>
      </c>
      <c r="W69" s="224">
        <v>4954429</v>
      </c>
      <c r="X69" s="294" t="s">
        <v>2178</v>
      </c>
      <c r="Y69" s="41" t="s">
        <v>1648</v>
      </c>
      <c r="Z69" s="224">
        <v>2896249</v>
      </c>
      <c r="AA69" s="41" t="s">
        <v>1649</v>
      </c>
      <c r="AB69" s="41" t="s">
        <v>1650</v>
      </c>
      <c r="AC69" s="224">
        <v>2896250</v>
      </c>
      <c r="AD69" s="294">
        <v>4225</v>
      </c>
      <c r="AE69" s="41" t="s">
        <v>607</v>
      </c>
      <c r="AF69" s="93" t="s">
        <v>330</v>
      </c>
      <c r="AG69" s="93" t="s">
        <v>413</v>
      </c>
      <c r="AH69" s="272" t="s">
        <v>271</v>
      </c>
    </row>
    <row r="70" spans="1:34" s="240" customFormat="1" ht="25.5" customHeight="1">
      <c r="A70" s="23" t="s">
        <v>73</v>
      </c>
      <c r="B70" s="23" t="s">
        <v>1763</v>
      </c>
      <c r="C70" s="190" t="s">
        <v>107</v>
      </c>
      <c r="D70" s="190" t="s">
        <v>215</v>
      </c>
      <c r="E70" s="190" t="s">
        <v>265</v>
      </c>
      <c r="F70" s="305" t="s">
        <v>1419</v>
      </c>
      <c r="G70" s="23"/>
      <c r="H70" s="15" t="s">
        <v>284</v>
      </c>
      <c r="I70" s="23"/>
      <c r="J70" s="23" t="s">
        <v>103</v>
      </c>
      <c r="K70" s="23"/>
      <c r="L70" s="23" t="s">
        <v>275</v>
      </c>
      <c r="M70" s="190"/>
      <c r="N70" s="233"/>
      <c r="O70" s="233"/>
      <c r="P70" s="271"/>
      <c r="Q70" s="190">
        <v>4</v>
      </c>
      <c r="R70" s="190" t="s">
        <v>107</v>
      </c>
      <c r="S70" s="190" t="s">
        <v>215</v>
      </c>
      <c r="T70" s="190" t="s">
        <v>1168</v>
      </c>
      <c r="U70" s="190" t="s">
        <v>294</v>
      </c>
      <c r="V70" s="323">
        <v>2663</v>
      </c>
      <c r="W70" s="224">
        <v>4954429</v>
      </c>
      <c r="X70" s="41" t="s">
        <v>1644</v>
      </c>
      <c r="Y70" s="41" t="s">
        <v>1645</v>
      </c>
      <c r="Z70" s="41">
        <v>2896247</v>
      </c>
      <c r="AA70" s="41" t="s">
        <v>1646</v>
      </c>
      <c r="AB70" s="41" t="s">
        <v>1647</v>
      </c>
      <c r="AC70" s="41">
        <v>2896248</v>
      </c>
      <c r="AD70" s="294">
        <v>4225</v>
      </c>
      <c r="AE70" s="41" t="s">
        <v>607</v>
      </c>
      <c r="AF70" s="93" t="s">
        <v>330</v>
      </c>
      <c r="AG70" s="93" t="s">
        <v>413</v>
      </c>
      <c r="AH70" s="272" t="s">
        <v>271</v>
      </c>
    </row>
    <row r="71" spans="1:34" s="240" customFormat="1" ht="25.5" customHeight="1">
      <c r="A71" s="23" t="s">
        <v>73</v>
      </c>
      <c r="B71" s="23" t="s">
        <v>1763</v>
      </c>
      <c r="C71" s="190" t="s">
        <v>536</v>
      </c>
      <c r="D71" s="190" t="s">
        <v>215</v>
      </c>
      <c r="E71" s="190" t="s">
        <v>1169</v>
      </c>
      <c r="F71" s="23" t="s">
        <v>1618</v>
      </c>
      <c r="G71" s="23"/>
      <c r="H71" s="15" t="s">
        <v>2062</v>
      </c>
      <c r="I71" s="23"/>
      <c r="J71" s="23" t="s">
        <v>103</v>
      </c>
      <c r="K71" s="23"/>
      <c r="L71" s="23" t="s">
        <v>277</v>
      </c>
      <c r="M71" s="190"/>
      <c r="N71" s="233"/>
      <c r="O71" s="233"/>
      <c r="P71" s="271"/>
      <c r="Q71" s="190">
        <v>69</v>
      </c>
      <c r="R71" s="190" t="s">
        <v>536</v>
      </c>
      <c r="S71" s="190" t="s">
        <v>215</v>
      </c>
      <c r="T71" s="190" t="s">
        <v>1170</v>
      </c>
      <c r="U71" s="190">
        <v>4309867</v>
      </c>
      <c r="V71" s="331">
        <v>2652</v>
      </c>
      <c r="W71" s="224">
        <v>4954429</v>
      </c>
      <c r="X71" s="224" t="str">
        <f t="shared" si="14"/>
        <v>PJ06832</v>
      </c>
      <c r="Y71" s="224" t="s">
        <v>1833</v>
      </c>
      <c r="Z71" s="224">
        <v>2896308</v>
      </c>
      <c r="AA71" s="224" t="str">
        <f t="shared" si="15"/>
        <v>PJ06833</v>
      </c>
      <c r="AB71" s="224" t="s">
        <v>1834</v>
      </c>
      <c r="AC71" s="224">
        <v>2896309</v>
      </c>
      <c r="AD71" s="294">
        <v>4225</v>
      </c>
      <c r="AE71" s="224">
        <v>3607754</v>
      </c>
      <c r="AF71" s="93" t="s">
        <v>330</v>
      </c>
      <c r="AG71" s="93" t="s">
        <v>413</v>
      </c>
      <c r="AH71" s="272" t="s">
        <v>271</v>
      </c>
    </row>
    <row r="72" spans="1:34" s="240" customFormat="1" ht="25.5" customHeight="1">
      <c r="A72" s="23" t="s">
        <v>73</v>
      </c>
      <c r="B72" s="23" t="s">
        <v>1763</v>
      </c>
      <c r="C72" s="190" t="s">
        <v>106</v>
      </c>
      <c r="D72" s="190" t="s">
        <v>215</v>
      </c>
      <c r="E72" s="190" t="s">
        <v>264</v>
      </c>
      <c r="F72" s="23" t="s">
        <v>1619</v>
      </c>
      <c r="G72" s="23"/>
      <c r="H72" s="15" t="s">
        <v>283</v>
      </c>
      <c r="I72" s="23"/>
      <c r="J72" s="23" t="s">
        <v>103</v>
      </c>
      <c r="K72" s="23"/>
      <c r="L72" s="23" t="s">
        <v>275</v>
      </c>
      <c r="M72" s="190"/>
      <c r="N72" s="233"/>
      <c r="O72" s="233"/>
      <c r="P72" s="271"/>
      <c r="Q72" s="190">
        <v>3</v>
      </c>
      <c r="R72" s="190" t="str">
        <f>C72</f>
        <v>SC60304</v>
      </c>
      <c r="S72" s="190" t="s">
        <v>220</v>
      </c>
      <c r="T72" s="190" t="s">
        <v>1171</v>
      </c>
      <c r="U72" s="190" t="s">
        <v>294</v>
      </c>
      <c r="V72" s="323">
        <v>2663</v>
      </c>
      <c r="W72" s="224">
        <v>4954429</v>
      </c>
      <c r="X72" s="224" t="str">
        <f t="shared" si="14"/>
        <v>PJ06836</v>
      </c>
      <c r="Y72" s="224" t="s">
        <v>1837</v>
      </c>
      <c r="Z72" s="224">
        <v>2896310</v>
      </c>
      <c r="AA72" s="224" t="str">
        <f t="shared" si="15"/>
        <v>PJ06837</v>
      </c>
      <c r="AB72" s="224" t="s">
        <v>1838</v>
      </c>
      <c r="AC72" s="224">
        <v>2896311</v>
      </c>
      <c r="AD72" s="294">
        <v>4225</v>
      </c>
      <c r="AE72" s="41" t="s">
        <v>607</v>
      </c>
      <c r="AF72" s="93" t="s">
        <v>330</v>
      </c>
      <c r="AG72" s="93" t="s">
        <v>413</v>
      </c>
      <c r="AH72" s="272" t="s">
        <v>271</v>
      </c>
    </row>
    <row r="73" spans="1:34" s="240" customFormat="1" ht="38.25" customHeight="1">
      <c r="A73" s="23" t="s">
        <v>73</v>
      </c>
      <c r="B73" s="23" t="s">
        <v>1763</v>
      </c>
      <c r="C73" s="190" t="s">
        <v>537</v>
      </c>
      <c r="D73" s="190" t="s">
        <v>215</v>
      </c>
      <c r="E73" s="190" t="s">
        <v>1172</v>
      </c>
      <c r="F73" s="23" t="s">
        <v>1618</v>
      </c>
      <c r="G73" s="23"/>
      <c r="H73" s="15" t="s">
        <v>2063</v>
      </c>
      <c r="I73" s="23"/>
      <c r="J73" s="23" t="s">
        <v>103</v>
      </c>
      <c r="K73" s="23"/>
      <c r="L73" s="23" t="s">
        <v>277</v>
      </c>
      <c r="M73" s="190"/>
      <c r="N73" s="233"/>
      <c r="O73" s="233"/>
      <c r="P73" s="271"/>
      <c r="Q73" s="190">
        <v>70</v>
      </c>
      <c r="R73" s="190" t="s">
        <v>537</v>
      </c>
      <c r="S73" s="190" t="s">
        <v>215</v>
      </c>
      <c r="T73" s="190" t="s">
        <v>1173</v>
      </c>
      <c r="U73" s="190">
        <v>4309869</v>
      </c>
      <c r="V73" s="331">
        <v>2652</v>
      </c>
      <c r="W73" s="224">
        <v>4954429</v>
      </c>
      <c r="X73" s="224" t="str">
        <f t="shared" si="14"/>
        <v>PJ06832</v>
      </c>
      <c r="Y73" s="224" t="s">
        <v>1833</v>
      </c>
      <c r="Z73" s="224">
        <v>2896308</v>
      </c>
      <c r="AA73" s="224" t="str">
        <f t="shared" si="15"/>
        <v>PJ06833</v>
      </c>
      <c r="AB73" s="224" t="s">
        <v>1834</v>
      </c>
      <c r="AC73" s="224">
        <v>2896309</v>
      </c>
      <c r="AD73" s="294">
        <v>4225</v>
      </c>
      <c r="AE73" s="224">
        <v>3607754</v>
      </c>
      <c r="AF73" s="93" t="s">
        <v>330</v>
      </c>
      <c r="AG73" s="93" t="s">
        <v>413</v>
      </c>
      <c r="AH73" s="272" t="s">
        <v>271</v>
      </c>
    </row>
    <row r="74" spans="1:34" s="240" customFormat="1" ht="25.5" customHeight="1">
      <c r="A74" s="23" t="s">
        <v>73</v>
      </c>
      <c r="B74" s="23" t="s">
        <v>1763</v>
      </c>
      <c r="C74" s="190" t="s">
        <v>104</v>
      </c>
      <c r="D74" s="190" t="s">
        <v>215</v>
      </c>
      <c r="E74" s="190" t="s">
        <v>262</v>
      </c>
      <c r="F74" s="305" t="s">
        <v>1618</v>
      </c>
      <c r="G74" s="172"/>
      <c r="H74" s="15" t="s">
        <v>281</v>
      </c>
      <c r="I74" s="23"/>
      <c r="J74" s="23" t="s">
        <v>103</v>
      </c>
      <c r="K74" s="172"/>
      <c r="L74" s="23" t="s">
        <v>275</v>
      </c>
      <c r="M74" s="171"/>
      <c r="N74" s="191"/>
      <c r="O74" s="191"/>
      <c r="P74" s="192"/>
      <c r="Q74" s="190">
        <v>1</v>
      </c>
      <c r="R74" s="197" t="str">
        <f>C74</f>
        <v>SC60302</v>
      </c>
      <c r="S74" s="190" t="s">
        <v>215</v>
      </c>
      <c r="T74" s="190" t="s">
        <v>1174</v>
      </c>
      <c r="U74" s="197">
        <v>4309870</v>
      </c>
      <c r="V74" s="323">
        <v>2663</v>
      </c>
      <c r="W74" s="224">
        <v>4954429</v>
      </c>
      <c r="X74" s="224" t="str">
        <f t="shared" si="14"/>
        <v>PJ06832</v>
      </c>
      <c r="Y74" s="41" t="s">
        <v>1833</v>
      </c>
      <c r="Z74" s="224">
        <v>2896308</v>
      </c>
      <c r="AA74" s="41" t="str">
        <f t="shared" si="15"/>
        <v>PJ06833</v>
      </c>
      <c r="AB74" s="41" t="s">
        <v>1834</v>
      </c>
      <c r="AC74" s="224">
        <v>2896309</v>
      </c>
      <c r="AD74" s="41">
        <v>4225</v>
      </c>
      <c r="AE74" s="41">
        <v>4954435</v>
      </c>
      <c r="AF74" s="195" t="s">
        <v>330</v>
      </c>
      <c r="AG74" s="195" t="s">
        <v>413</v>
      </c>
      <c r="AH74" s="50" t="s">
        <v>271</v>
      </c>
    </row>
    <row r="75" spans="1:34" ht="25.5">
      <c r="A75" s="23" t="s">
        <v>73</v>
      </c>
      <c r="B75" s="23" t="s">
        <v>1763</v>
      </c>
      <c r="C75" s="190" t="s">
        <v>538</v>
      </c>
      <c r="D75" s="190" t="s">
        <v>215</v>
      </c>
      <c r="E75" s="190" t="s">
        <v>1175</v>
      </c>
      <c r="F75" s="23" t="s">
        <v>1618</v>
      </c>
      <c r="G75" s="23"/>
      <c r="H75" s="15" t="s">
        <v>2064</v>
      </c>
      <c r="I75" s="23"/>
      <c r="J75" s="23" t="s">
        <v>103</v>
      </c>
      <c r="K75" s="23"/>
      <c r="L75" s="23" t="s">
        <v>277</v>
      </c>
      <c r="M75" s="190"/>
      <c r="N75" s="233"/>
      <c r="O75" s="233"/>
      <c r="P75" s="271"/>
      <c r="Q75" s="190" t="s">
        <v>294</v>
      </c>
      <c r="R75" s="190" t="s">
        <v>538</v>
      </c>
      <c r="S75" s="190" t="s">
        <v>215</v>
      </c>
      <c r="T75" s="273" t="s">
        <v>1176</v>
      </c>
      <c r="U75" s="190">
        <v>4309871</v>
      </c>
      <c r="V75" s="331">
        <v>2652</v>
      </c>
      <c r="W75" s="224">
        <v>4954429</v>
      </c>
      <c r="X75" s="224" t="str">
        <f t="shared" si="14"/>
        <v>PJ06832</v>
      </c>
      <c r="Y75" s="224" t="s">
        <v>1833</v>
      </c>
      <c r="Z75" s="224">
        <v>2896308</v>
      </c>
      <c r="AA75" s="224" t="str">
        <f t="shared" si="15"/>
        <v>PJ06833</v>
      </c>
      <c r="AB75" s="224" t="s">
        <v>1834</v>
      </c>
      <c r="AC75" s="224">
        <v>2896309</v>
      </c>
      <c r="AD75" s="294">
        <v>4225</v>
      </c>
      <c r="AE75" s="224">
        <v>3607754</v>
      </c>
      <c r="AF75" s="93" t="s">
        <v>330</v>
      </c>
      <c r="AG75" s="93" t="s">
        <v>413</v>
      </c>
      <c r="AH75" s="272" t="s">
        <v>271</v>
      </c>
    </row>
    <row r="76" spans="1:34" ht="38.25">
      <c r="A76" s="23" t="s">
        <v>73</v>
      </c>
      <c r="B76" s="23" t="s">
        <v>1763</v>
      </c>
      <c r="C76" s="190" t="s">
        <v>536</v>
      </c>
      <c r="D76" s="190" t="s">
        <v>1656</v>
      </c>
      <c r="E76" s="190" t="s">
        <v>262</v>
      </c>
      <c r="F76" s="23" t="s">
        <v>1618</v>
      </c>
      <c r="H76" s="15" t="s">
        <v>281</v>
      </c>
      <c r="I76" s="199"/>
      <c r="J76" s="292" t="s">
        <v>103</v>
      </c>
      <c r="L76" s="23" t="s">
        <v>277</v>
      </c>
      <c r="Q76" s="197">
        <v>1</v>
      </c>
      <c r="R76" s="197" t="str">
        <f>C76</f>
        <v>SC60299</v>
      </c>
      <c r="S76" s="238" t="str">
        <f>D76</f>
        <v>DO06881</v>
      </c>
      <c r="T76" s="23" t="s">
        <v>2050</v>
      </c>
      <c r="U76" s="23">
        <v>2896302</v>
      </c>
      <c r="V76" s="323">
        <v>2652</v>
      </c>
      <c r="W76" s="303" t="s">
        <v>582</v>
      </c>
      <c r="X76" s="41" t="str">
        <f t="shared" ref="X76:X85" si="16">LEFT(F76,7)</f>
        <v>PJ06832</v>
      </c>
      <c r="Y76" s="41" t="s">
        <v>1833</v>
      </c>
      <c r="Z76" s="224">
        <v>2896308</v>
      </c>
      <c r="AA76" s="41" t="str">
        <f t="shared" si="15"/>
        <v>PJ06833</v>
      </c>
      <c r="AB76" s="41" t="s">
        <v>1834</v>
      </c>
      <c r="AC76" s="224">
        <v>2896309</v>
      </c>
      <c r="AD76" s="41">
        <v>4225</v>
      </c>
      <c r="AE76" s="41">
        <v>4954435</v>
      </c>
      <c r="AF76" s="195" t="s">
        <v>330</v>
      </c>
      <c r="AG76" s="195" t="s">
        <v>413</v>
      </c>
      <c r="AH76" s="50" t="s">
        <v>271</v>
      </c>
    </row>
    <row r="77" spans="1:34" ht="25.5">
      <c r="A77" s="23" t="s">
        <v>73</v>
      </c>
      <c r="B77" s="23" t="s">
        <v>1763</v>
      </c>
      <c r="C77" s="23" t="s">
        <v>1721</v>
      </c>
      <c r="D77" s="23" t="s">
        <v>1722</v>
      </c>
      <c r="E77" s="23" t="s">
        <v>1731</v>
      </c>
      <c r="F77" s="23" t="s">
        <v>1740</v>
      </c>
      <c r="H77" s="15" t="s">
        <v>1742</v>
      </c>
      <c r="I77" s="23"/>
      <c r="J77" s="309" t="s">
        <v>2415</v>
      </c>
      <c r="K77" s="23"/>
      <c r="L77" s="23" t="s">
        <v>277</v>
      </c>
      <c r="M77" s="23"/>
      <c r="N77" s="23"/>
      <c r="O77" s="23"/>
      <c r="P77" s="23"/>
      <c r="Q77" s="23">
        <v>69</v>
      </c>
      <c r="R77" s="238" t="str">
        <f>C77</f>
        <v>SC60191</v>
      </c>
      <c r="S77" s="238" t="str">
        <f>D77</f>
        <v>DO06353</v>
      </c>
      <c r="T77" s="23" t="s">
        <v>1749</v>
      </c>
      <c r="U77" s="23">
        <v>3643432</v>
      </c>
      <c r="V77" s="323">
        <v>2652</v>
      </c>
      <c r="W77" s="41">
        <v>4954429</v>
      </c>
      <c r="X77" s="41" t="str">
        <f t="shared" si="16"/>
        <v>PJ06726</v>
      </c>
      <c r="Y77" s="41" t="s">
        <v>1758</v>
      </c>
      <c r="Z77" s="41">
        <v>3643441</v>
      </c>
      <c r="AA77" s="41" t="str">
        <f t="shared" si="15"/>
        <v>PJ06727</v>
      </c>
      <c r="AB77" s="41" t="s">
        <v>1761</v>
      </c>
      <c r="AC77" s="41">
        <v>3643442</v>
      </c>
      <c r="AD77" s="41">
        <v>4225</v>
      </c>
      <c r="AE77" s="41" t="s">
        <v>606</v>
      </c>
      <c r="AF77" s="23" t="s">
        <v>330</v>
      </c>
      <c r="AG77" s="23" t="s">
        <v>413</v>
      </c>
      <c r="AH77" s="50" t="s">
        <v>271</v>
      </c>
    </row>
    <row r="78" spans="1:34" ht="25.5">
      <c r="A78" s="23" t="s">
        <v>73</v>
      </c>
      <c r="B78" s="23" t="s">
        <v>1763</v>
      </c>
      <c r="C78" s="23" t="s">
        <v>1723</v>
      </c>
      <c r="D78" s="23" t="s">
        <v>1722</v>
      </c>
      <c r="E78" s="23" t="s">
        <v>1732</v>
      </c>
      <c r="F78" s="23" t="s">
        <v>1740</v>
      </c>
      <c r="H78" s="15" t="s">
        <v>1743</v>
      </c>
      <c r="I78" s="23"/>
      <c r="J78" s="309" t="s">
        <v>2415</v>
      </c>
      <c r="K78" s="23"/>
      <c r="L78" s="23" t="s">
        <v>277</v>
      </c>
      <c r="M78" s="23"/>
      <c r="N78" s="23"/>
      <c r="O78" s="23"/>
      <c r="P78" s="23"/>
      <c r="Q78" s="23">
        <v>70</v>
      </c>
      <c r="R78" s="238" t="str">
        <f t="shared" ref="R78:S85" si="17">C78</f>
        <v>SC60192</v>
      </c>
      <c r="S78" s="238" t="str">
        <f>D78</f>
        <v>DO06353</v>
      </c>
      <c r="T78" s="23" t="s">
        <v>1750</v>
      </c>
      <c r="U78" s="23">
        <v>3643433</v>
      </c>
      <c r="V78" s="323">
        <v>2652</v>
      </c>
      <c r="W78" s="41">
        <v>4954429</v>
      </c>
      <c r="X78" s="41" t="str">
        <f t="shared" si="16"/>
        <v>PJ06726</v>
      </c>
      <c r="Y78" s="41" t="s">
        <v>1758</v>
      </c>
      <c r="Z78" s="41">
        <v>3643441</v>
      </c>
      <c r="AA78" s="41" t="str">
        <f t="shared" si="15"/>
        <v>PJ06727</v>
      </c>
      <c r="AB78" s="41" t="s">
        <v>1761</v>
      </c>
      <c r="AC78" s="41">
        <v>3643442</v>
      </c>
      <c r="AD78" s="41">
        <v>4225</v>
      </c>
      <c r="AE78" s="41" t="s">
        <v>606</v>
      </c>
      <c r="AF78" s="23" t="s">
        <v>330</v>
      </c>
      <c r="AG78" s="23" t="s">
        <v>413</v>
      </c>
      <c r="AH78" s="50" t="s">
        <v>271</v>
      </c>
    </row>
    <row r="79" spans="1:34" ht="25.5">
      <c r="A79" s="23" t="s">
        <v>73</v>
      </c>
      <c r="B79" s="23" t="s">
        <v>1763</v>
      </c>
      <c r="C79" s="23" t="s">
        <v>1724</v>
      </c>
      <c r="D79" s="23" t="s">
        <v>1722</v>
      </c>
      <c r="E79" s="23" t="s">
        <v>1733</v>
      </c>
      <c r="F79" s="23" t="s">
        <v>1740</v>
      </c>
      <c r="H79" s="15" t="s">
        <v>1744</v>
      </c>
      <c r="I79" s="23"/>
      <c r="J79" s="309" t="s">
        <v>2415</v>
      </c>
      <c r="K79" s="23"/>
      <c r="L79" s="23" t="s">
        <v>277</v>
      </c>
      <c r="M79" s="23"/>
      <c r="N79" s="23"/>
      <c r="O79" s="23"/>
      <c r="P79" s="23"/>
      <c r="Q79" s="23" t="s">
        <v>294</v>
      </c>
      <c r="R79" s="238" t="str">
        <f t="shared" si="17"/>
        <v>SC60193</v>
      </c>
      <c r="S79" s="238" t="str">
        <f>D79</f>
        <v>DO06353</v>
      </c>
      <c r="T79" s="23" t="s">
        <v>1751</v>
      </c>
      <c r="U79" s="23">
        <v>3643434</v>
      </c>
      <c r="V79" s="323">
        <v>2652</v>
      </c>
      <c r="W79" s="41">
        <v>4954429</v>
      </c>
      <c r="X79" s="41" t="str">
        <f t="shared" si="16"/>
        <v>PJ06726</v>
      </c>
      <c r="Y79" s="41" t="s">
        <v>1758</v>
      </c>
      <c r="Z79" s="41">
        <v>3643441</v>
      </c>
      <c r="AA79" s="41" t="str">
        <f t="shared" si="15"/>
        <v>PJ06727</v>
      </c>
      <c r="AB79" s="41" t="s">
        <v>1761</v>
      </c>
      <c r="AC79" s="41">
        <v>3643442</v>
      </c>
      <c r="AD79" s="41">
        <v>4225</v>
      </c>
      <c r="AE79" s="41" t="s">
        <v>606</v>
      </c>
      <c r="AF79" s="23" t="s">
        <v>330</v>
      </c>
      <c r="AG79" s="23" t="s">
        <v>413</v>
      </c>
      <c r="AH79" s="50" t="s">
        <v>271</v>
      </c>
    </row>
    <row r="80" spans="1:34" ht="25.5">
      <c r="A80" s="23" t="s">
        <v>73</v>
      </c>
      <c r="B80" s="23" t="s">
        <v>1763</v>
      </c>
      <c r="C80" s="23" t="s">
        <v>1725</v>
      </c>
      <c r="D80" s="23" t="s">
        <v>1722</v>
      </c>
      <c r="E80" s="23" t="s">
        <v>1734</v>
      </c>
      <c r="F80" s="23" t="s">
        <v>1740</v>
      </c>
      <c r="H80" s="15" t="s">
        <v>1745</v>
      </c>
      <c r="I80" s="23"/>
      <c r="J80" s="309" t="s">
        <v>2415</v>
      </c>
      <c r="K80" s="23"/>
      <c r="L80" s="23" t="s">
        <v>277</v>
      </c>
      <c r="M80" s="23"/>
      <c r="N80" s="23"/>
      <c r="O80" s="23"/>
      <c r="P80" s="23"/>
      <c r="Q80" s="23" t="s">
        <v>294</v>
      </c>
      <c r="R80" s="238" t="str">
        <f t="shared" si="17"/>
        <v>SC60194</v>
      </c>
      <c r="S80" s="238" t="str">
        <f>D80</f>
        <v>DO06353</v>
      </c>
      <c r="T80" s="23" t="s">
        <v>1752</v>
      </c>
      <c r="U80" s="23">
        <v>3643435</v>
      </c>
      <c r="V80" s="323">
        <v>2652</v>
      </c>
      <c r="W80" s="41">
        <v>4954429</v>
      </c>
      <c r="X80" s="41" t="str">
        <f t="shared" si="16"/>
        <v>PJ06726</v>
      </c>
      <c r="Y80" s="41" t="s">
        <v>1758</v>
      </c>
      <c r="Z80" s="41">
        <v>3643441</v>
      </c>
      <c r="AA80" s="41" t="str">
        <f t="shared" si="15"/>
        <v>PJ06727</v>
      </c>
      <c r="AB80" s="41" t="s">
        <v>1761</v>
      </c>
      <c r="AC80" s="41">
        <v>3643442</v>
      </c>
      <c r="AD80" s="41">
        <v>4225</v>
      </c>
      <c r="AE80" s="41" t="s">
        <v>606</v>
      </c>
      <c r="AF80" s="23" t="s">
        <v>330</v>
      </c>
      <c r="AG80" s="23" t="s">
        <v>413</v>
      </c>
      <c r="AH80" s="50" t="s">
        <v>271</v>
      </c>
    </row>
    <row r="81" spans="1:34" ht="25.5">
      <c r="A81" s="23" t="s">
        <v>73</v>
      </c>
      <c r="B81" s="23" t="s">
        <v>1763</v>
      </c>
      <c r="C81" s="23" t="s">
        <v>1726</v>
      </c>
      <c r="D81" s="23" t="s">
        <v>1722</v>
      </c>
      <c r="E81" s="23" t="s">
        <v>1735</v>
      </c>
      <c r="F81" s="23" t="s">
        <v>1740</v>
      </c>
      <c r="H81" s="15" t="s">
        <v>282</v>
      </c>
      <c r="I81" s="23"/>
      <c r="J81" s="309" t="s">
        <v>2415</v>
      </c>
      <c r="K81" s="23"/>
      <c r="L81" s="23" t="s">
        <v>277</v>
      </c>
      <c r="M81" s="23"/>
      <c r="N81" s="23"/>
      <c r="O81" s="23"/>
      <c r="P81" s="23"/>
      <c r="Q81" s="23">
        <v>2</v>
      </c>
      <c r="R81" s="238" t="str">
        <f t="shared" si="17"/>
        <v>SC60195</v>
      </c>
      <c r="S81" s="238" t="str">
        <f t="shared" si="17"/>
        <v>DO06353</v>
      </c>
      <c r="T81" s="23" t="s">
        <v>1753</v>
      </c>
      <c r="U81" s="23">
        <v>3643436</v>
      </c>
      <c r="V81" s="323">
        <v>2652</v>
      </c>
      <c r="W81" s="41">
        <v>4954429</v>
      </c>
      <c r="X81" s="41" t="str">
        <f t="shared" si="16"/>
        <v>PJ06726</v>
      </c>
      <c r="Y81" s="41" t="s">
        <v>1758</v>
      </c>
      <c r="Z81" s="41">
        <v>3643441</v>
      </c>
      <c r="AA81" s="41" t="str">
        <f t="shared" si="15"/>
        <v>PJ06727</v>
      </c>
      <c r="AB81" s="41" t="s">
        <v>1761</v>
      </c>
      <c r="AC81" s="41">
        <v>3643442</v>
      </c>
      <c r="AD81" s="41">
        <v>4225</v>
      </c>
      <c r="AE81" s="41" t="s">
        <v>606</v>
      </c>
      <c r="AF81" s="23" t="s">
        <v>330</v>
      </c>
      <c r="AG81" s="23" t="s">
        <v>413</v>
      </c>
      <c r="AH81" s="50" t="s">
        <v>271</v>
      </c>
    </row>
    <row r="82" spans="1:34" ht="25.5">
      <c r="A82" s="23" t="s">
        <v>73</v>
      </c>
      <c r="B82" s="23" t="s">
        <v>1763</v>
      </c>
      <c r="C82" s="23" t="s">
        <v>1727</v>
      </c>
      <c r="D82" s="23" t="s">
        <v>1722</v>
      </c>
      <c r="E82" s="23" t="s">
        <v>1736</v>
      </c>
      <c r="F82" s="23" t="s">
        <v>1741</v>
      </c>
      <c r="H82" s="15" t="s">
        <v>283</v>
      </c>
      <c r="I82" s="23"/>
      <c r="J82" s="309" t="s">
        <v>2415</v>
      </c>
      <c r="K82" s="23"/>
      <c r="L82" s="23" t="s">
        <v>277</v>
      </c>
      <c r="M82" s="23"/>
      <c r="N82" s="23"/>
      <c r="O82" s="23"/>
      <c r="P82" s="23"/>
      <c r="Q82" s="23">
        <v>3</v>
      </c>
      <c r="R82" s="238" t="str">
        <f t="shared" si="17"/>
        <v>SC60196</v>
      </c>
      <c r="S82" s="238" t="str">
        <f t="shared" si="17"/>
        <v>DO06353</v>
      </c>
      <c r="T82" s="23" t="s">
        <v>1754</v>
      </c>
      <c r="U82" s="23">
        <v>3643437</v>
      </c>
      <c r="V82" s="323">
        <v>2652</v>
      </c>
      <c r="W82" s="41">
        <v>4954429</v>
      </c>
      <c r="X82" s="41" t="str">
        <f t="shared" si="16"/>
        <v>PJ06728</v>
      </c>
      <c r="Y82" s="41" t="s">
        <v>1759</v>
      </c>
      <c r="Z82" s="41">
        <v>3643443</v>
      </c>
      <c r="AA82" s="41" t="str">
        <f t="shared" si="15"/>
        <v>PJ06729</v>
      </c>
      <c r="AB82" s="41" t="s">
        <v>1762</v>
      </c>
      <c r="AC82" s="41">
        <v>3643444</v>
      </c>
      <c r="AD82" s="41">
        <v>4225</v>
      </c>
      <c r="AE82" s="41" t="s">
        <v>606</v>
      </c>
      <c r="AF82" s="23" t="s">
        <v>330</v>
      </c>
      <c r="AG82" s="23" t="s">
        <v>413</v>
      </c>
      <c r="AH82" s="50" t="s">
        <v>271</v>
      </c>
    </row>
    <row r="83" spans="1:34" ht="25.5">
      <c r="A83" s="23" t="s">
        <v>73</v>
      </c>
      <c r="B83" s="23" t="s">
        <v>1763</v>
      </c>
      <c r="C83" s="23" t="s">
        <v>1728</v>
      </c>
      <c r="D83" s="23" t="s">
        <v>1722</v>
      </c>
      <c r="E83" s="23" t="s">
        <v>1737</v>
      </c>
      <c r="F83" s="23" t="s">
        <v>1740</v>
      </c>
      <c r="H83" s="15" t="s">
        <v>1746</v>
      </c>
      <c r="I83" s="23"/>
      <c r="J83" s="309" t="s">
        <v>2415</v>
      </c>
      <c r="K83" s="23"/>
      <c r="L83" s="23" t="s">
        <v>277</v>
      </c>
      <c r="M83" s="23"/>
      <c r="N83" s="23"/>
      <c r="O83" s="23"/>
      <c r="P83" s="23"/>
      <c r="Q83" s="23" t="s">
        <v>294</v>
      </c>
      <c r="R83" s="238" t="str">
        <f t="shared" si="17"/>
        <v>SC60197</v>
      </c>
      <c r="S83" s="238" t="str">
        <f t="shared" si="17"/>
        <v>DO06353</v>
      </c>
      <c r="T83" s="23" t="s">
        <v>1755</v>
      </c>
      <c r="U83" s="23">
        <v>3643438</v>
      </c>
      <c r="V83" s="323">
        <v>2652</v>
      </c>
      <c r="W83" s="41">
        <v>4954429</v>
      </c>
      <c r="X83" s="41" t="str">
        <f t="shared" si="16"/>
        <v>PJ06726</v>
      </c>
      <c r="Y83" s="41" t="s">
        <v>1758</v>
      </c>
      <c r="Z83" s="41" t="s">
        <v>294</v>
      </c>
      <c r="AA83" s="41" t="str">
        <f t="shared" si="15"/>
        <v>PJ06727</v>
      </c>
      <c r="AB83" s="41" t="s">
        <v>1761</v>
      </c>
      <c r="AC83" s="41" t="s">
        <v>294</v>
      </c>
      <c r="AD83" s="41">
        <v>4225</v>
      </c>
      <c r="AE83" s="41" t="s">
        <v>606</v>
      </c>
      <c r="AF83" s="23" t="s">
        <v>330</v>
      </c>
      <c r="AG83" s="23" t="s">
        <v>413</v>
      </c>
      <c r="AH83" s="50" t="s">
        <v>271</v>
      </c>
    </row>
    <row r="84" spans="1:34" ht="25.5">
      <c r="A84" s="23" t="s">
        <v>73</v>
      </c>
      <c r="B84" s="23" t="s">
        <v>1763</v>
      </c>
      <c r="C84" s="23" t="s">
        <v>1729</v>
      </c>
      <c r="D84" s="23" t="s">
        <v>1722</v>
      </c>
      <c r="E84" s="23" t="s">
        <v>1738</v>
      </c>
      <c r="F84" s="23" t="s">
        <v>2175</v>
      </c>
      <c r="H84" s="15" t="s">
        <v>1747</v>
      </c>
      <c r="I84" s="23"/>
      <c r="J84" s="309" t="s">
        <v>2415</v>
      </c>
      <c r="K84" s="23"/>
      <c r="L84" s="23" t="s">
        <v>277</v>
      </c>
      <c r="M84" s="23"/>
      <c r="N84" s="23"/>
      <c r="O84" s="23"/>
      <c r="P84" s="23"/>
      <c r="Q84" s="23" t="s">
        <v>294</v>
      </c>
      <c r="R84" s="238" t="str">
        <f t="shared" si="17"/>
        <v>SC60198</v>
      </c>
      <c r="S84" s="238" t="str">
        <f t="shared" si="17"/>
        <v>DO06353</v>
      </c>
      <c r="T84" s="23" t="s">
        <v>1756</v>
      </c>
      <c r="U84" s="23">
        <v>3643439</v>
      </c>
      <c r="V84" s="323">
        <v>2652</v>
      </c>
      <c r="W84" s="41">
        <v>4954429</v>
      </c>
      <c r="X84" s="41" t="str">
        <f t="shared" si="16"/>
        <v>PJ06730</v>
      </c>
      <c r="Y84" s="41" t="s">
        <v>1760</v>
      </c>
      <c r="Z84" s="41">
        <v>3643445</v>
      </c>
      <c r="AA84" s="41" t="str">
        <f t="shared" si="15"/>
        <v>PJ67310</v>
      </c>
      <c r="AB84" s="41" t="s">
        <v>1941</v>
      </c>
      <c r="AC84" s="41">
        <v>3643446</v>
      </c>
      <c r="AD84" s="41">
        <v>4225</v>
      </c>
      <c r="AE84" s="41" t="s">
        <v>606</v>
      </c>
      <c r="AF84" s="23" t="s">
        <v>330</v>
      </c>
      <c r="AG84" s="23" t="s">
        <v>413</v>
      </c>
      <c r="AH84" s="50" t="s">
        <v>271</v>
      </c>
    </row>
    <row r="85" spans="1:34" ht="25.5">
      <c r="A85" s="23" t="s">
        <v>73</v>
      </c>
      <c r="B85" s="23" t="s">
        <v>1763</v>
      </c>
      <c r="C85" s="23" t="s">
        <v>1730</v>
      </c>
      <c r="D85" s="23" t="s">
        <v>1722</v>
      </c>
      <c r="E85" s="23" t="s">
        <v>1739</v>
      </c>
      <c r="F85" s="23" t="s">
        <v>1740</v>
      </c>
      <c r="H85" s="15" t="s">
        <v>1748</v>
      </c>
      <c r="I85" s="23"/>
      <c r="J85" s="309" t="s">
        <v>2415</v>
      </c>
      <c r="K85" s="23"/>
      <c r="L85" s="23" t="s">
        <v>277</v>
      </c>
      <c r="M85" s="23"/>
      <c r="N85" s="23"/>
      <c r="O85" s="23"/>
      <c r="P85" s="23"/>
      <c r="Q85" s="23">
        <v>71</v>
      </c>
      <c r="R85" s="238" t="str">
        <f t="shared" ref="R85" si="18">C85</f>
        <v>SC60383</v>
      </c>
      <c r="S85" s="238" t="str">
        <f t="shared" si="17"/>
        <v>DO06353</v>
      </c>
      <c r="T85" s="23" t="s">
        <v>1757</v>
      </c>
      <c r="U85" s="23">
        <v>3642440</v>
      </c>
      <c r="V85" s="323">
        <v>2652</v>
      </c>
      <c r="W85" s="41">
        <v>4954429</v>
      </c>
      <c r="X85" s="41" t="str">
        <f t="shared" si="16"/>
        <v>PJ06726</v>
      </c>
      <c r="Y85" s="41" t="s">
        <v>1758</v>
      </c>
      <c r="Z85" s="41" t="s">
        <v>294</v>
      </c>
      <c r="AA85" s="41" t="str">
        <f t="shared" si="15"/>
        <v>PJ06727</v>
      </c>
      <c r="AB85" s="41" t="s">
        <v>1761</v>
      </c>
      <c r="AC85" s="41" t="s">
        <v>294</v>
      </c>
      <c r="AD85" s="41">
        <v>4225</v>
      </c>
      <c r="AE85" s="41" t="s">
        <v>606</v>
      </c>
      <c r="AF85" s="23" t="s">
        <v>330</v>
      </c>
      <c r="AG85" s="23" t="s">
        <v>413</v>
      </c>
      <c r="AH85" s="50" t="s">
        <v>271</v>
      </c>
    </row>
    <row r="86" spans="1:34" ht="38.25">
      <c r="A86" s="23" t="s">
        <v>73</v>
      </c>
      <c r="B86" s="23" t="s">
        <v>1763</v>
      </c>
      <c r="C86" s="23" t="s">
        <v>1766</v>
      </c>
      <c r="D86" s="23" t="s">
        <v>1767</v>
      </c>
      <c r="E86" s="23" t="s">
        <v>1764</v>
      </c>
      <c r="F86" s="23" t="s">
        <v>1770</v>
      </c>
      <c r="H86" s="308" t="s">
        <v>1772</v>
      </c>
      <c r="I86" s="23"/>
      <c r="J86" s="309" t="s">
        <v>2415</v>
      </c>
      <c r="K86" s="23"/>
      <c r="L86" s="23" t="s">
        <v>275</v>
      </c>
      <c r="M86" s="23"/>
      <c r="N86" s="23"/>
      <c r="O86" s="23"/>
      <c r="P86" s="23"/>
      <c r="Q86" s="23" t="s">
        <v>294</v>
      </c>
      <c r="R86" s="258" t="str">
        <f t="shared" ref="R86:R87" si="19">C86</f>
        <v>SC60897</v>
      </c>
      <c r="S86" s="258" t="str">
        <f t="shared" ref="S86:S87" si="20">D86</f>
        <v>DO60054</v>
      </c>
      <c r="T86" s="267" t="s">
        <v>1773</v>
      </c>
      <c r="U86" s="23" t="s">
        <v>294</v>
      </c>
      <c r="V86" s="323">
        <v>2663</v>
      </c>
      <c r="W86" s="41">
        <v>4954429</v>
      </c>
      <c r="X86" s="41" t="str">
        <f t="shared" ref="X86:X91" si="21">LEFT(F86,7)</f>
        <v>PJ60237</v>
      </c>
      <c r="Y86" s="41" t="s">
        <v>1774</v>
      </c>
      <c r="Z86" s="41" t="s">
        <v>294</v>
      </c>
      <c r="AA86" s="41" t="str">
        <f t="shared" si="15"/>
        <v>PJ60238</v>
      </c>
      <c r="AB86" s="41" t="s">
        <v>1775</v>
      </c>
      <c r="AC86" s="41" t="s">
        <v>294</v>
      </c>
      <c r="AD86" s="41">
        <v>4225</v>
      </c>
      <c r="AE86" s="41">
        <v>4954435</v>
      </c>
      <c r="AF86" s="23" t="s">
        <v>330</v>
      </c>
      <c r="AG86" s="23" t="s">
        <v>413</v>
      </c>
      <c r="AH86" s="50" t="s">
        <v>271</v>
      </c>
    </row>
    <row r="87" spans="1:34" ht="38.25">
      <c r="A87" s="23" t="s">
        <v>73</v>
      </c>
      <c r="B87" s="23" t="s">
        <v>1763</v>
      </c>
      <c r="C87" s="23" t="s">
        <v>1768</v>
      </c>
      <c r="D87" s="23" t="s">
        <v>1769</v>
      </c>
      <c r="E87" s="23" t="s">
        <v>1765</v>
      </c>
      <c r="F87" s="23" t="s">
        <v>1771</v>
      </c>
      <c r="H87" s="15" t="s">
        <v>102</v>
      </c>
      <c r="I87" s="23"/>
      <c r="J87" s="309" t="s">
        <v>2415</v>
      </c>
      <c r="K87" s="23"/>
      <c r="L87" s="23" t="s">
        <v>275</v>
      </c>
      <c r="M87" s="23"/>
      <c r="N87" s="23"/>
      <c r="O87" s="23"/>
      <c r="P87" s="23"/>
      <c r="Q87" s="23">
        <v>5</v>
      </c>
      <c r="R87" s="258" t="str">
        <f t="shared" si="19"/>
        <v>SC60898</v>
      </c>
      <c r="S87" s="258" t="str">
        <f t="shared" si="20"/>
        <v>DO60055</v>
      </c>
      <c r="T87" s="324" t="s">
        <v>2407</v>
      </c>
      <c r="U87" s="23" t="s">
        <v>294</v>
      </c>
      <c r="V87" s="323">
        <v>2663</v>
      </c>
      <c r="W87" s="41">
        <v>4954429</v>
      </c>
      <c r="X87" s="41" t="str">
        <f t="shared" si="21"/>
        <v>PJ60239</v>
      </c>
      <c r="Y87" s="41" t="s">
        <v>2408</v>
      </c>
      <c r="Z87" s="41" t="s">
        <v>294</v>
      </c>
      <c r="AA87" s="41" t="str">
        <f t="shared" si="15"/>
        <v>PJ60240</v>
      </c>
      <c r="AB87" s="41" t="s">
        <v>1776</v>
      </c>
      <c r="AC87" s="41" t="s">
        <v>294</v>
      </c>
      <c r="AD87" s="41">
        <v>4225</v>
      </c>
      <c r="AE87" s="41">
        <v>4954435</v>
      </c>
      <c r="AF87" s="23" t="s">
        <v>330</v>
      </c>
      <c r="AG87" s="23" t="s">
        <v>413</v>
      </c>
      <c r="AH87" s="50" t="s">
        <v>271</v>
      </c>
    </row>
    <row r="88" spans="1:34" ht="38.25">
      <c r="A88" s="23" t="s">
        <v>73</v>
      </c>
      <c r="B88" s="23" t="s">
        <v>1763</v>
      </c>
      <c r="C88" s="23" t="s">
        <v>1787</v>
      </c>
      <c r="D88" s="23" t="s">
        <v>1788</v>
      </c>
      <c r="E88" s="23" t="s">
        <v>1789</v>
      </c>
      <c r="F88" s="23" t="s">
        <v>1790</v>
      </c>
      <c r="H88" s="308" t="s">
        <v>2371</v>
      </c>
      <c r="I88" s="23"/>
      <c r="J88" s="309" t="s">
        <v>2415</v>
      </c>
      <c r="L88" s="23" t="s">
        <v>277</v>
      </c>
      <c r="Q88" s="23">
        <v>72</v>
      </c>
      <c r="R88" s="274" t="str">
        <f t="shared" ref="R88:S90" si="22">C88</f>
        <v>SC60444</v>
      </c>
      <c r="S88" s="258" t="str">
        <f t="shared" si="22"/>
        <v>DO06589</v>
      </c>
      <c r="T88" s="267" t="s">
        <v>1791</v>
      </c>
      <c r="U88" s="23">
        <v>4999113</v>
      </c>
      <c r="V88" s="309">
        <v>2685</v>
      </c>
      <c r="W88" s="41">
        <v>4954429</v>
      </c>
      <c r="X88" s="41" t="str">
        <f t="shared" si="21"/>
        <v>PJ06737</v>
      </c>
      <c r="Y88" s="263"/>
      <c r="Z88" s="263"/>
      <c r="AA88" s="41" t="str">
        <f t="shared" ref="AA88:AA90" si="23">IF(AG88="VEE", RIGHT(F88,7),"n/a")</f>
        <v>PJ06738</v>
      </c>
      <c r="AB88" s="263"/>
      <c r="AC88" s="263"/>
      <c r="AD88" s="41">
        <v>4225</v>
      </c>
      <c r="AE88" s="41">
        <v>4954435</v>
      </c>
      <c r="AF88" s="23" t="s">
        <v>330</v>
      </c>
      <c r="AG88" s="23" t="s">
        <v>413</v>
      </c>
      <c r="AH88" s="50" t="s">
        <v>271</v>
      </c>
    </row>
    <row r="89" spans="1:34" ht="51">
      <c r="A89" s="261" t="s">
        <v>73</v>
      </c>
      <c r="B89" s="23" t="s">
        <v>1763</v>
      </c>
      <c r="C89" s="258" t="s">
        <v>537</v>
      </c>
      <c r="D89" s="258" t="s">
        <v>1792</v>
      </c>
      <c r="E89" s="258" t="s">
        <v>265</v>
      </c>
      <c r="F89" s="305" t="s">
        <v>1620</v>
      </c>
      <c r="H89" s="15" t="s">
        <v>284</v>
      </c>
      <c r="I89" s="261"/>
      <c r="J89" s="292" t="s">
        <v>103</v>
      </c>
      <c r="L89" s="23" t="s">
        <v>277</v>
      </c>
      <c r="Q89" s="258">
        <v>4</v>
      </c>
      <c r="R89" s="258" t="str">
        <f t="shared" si="22"/>
        <v>SC60300</v>
      </c>
      <c r="S89" s="258" t="str">
        <f t="shared" si="22"/>
        <v>DO06882</v>
      </c>
      <c r="T89" s="267" t="s">
        <v>1794</v>
      </c>
      <c r="U89" s="258">
        <v>2896303</v>
      </c>
      <c r="V89" s="324">
        <v>2663</v>
      </c>
      <c r="W89" s="303" t="s">
        <v>1164</v>
      </c>
      <c r="X89" s="41" t="str">
        <f t="shared" si="21"/>
        <v>PJ60129</v>
      </c>
      <c r="Y89" s="41" t="s">
        <v>1929</v>
      </c>
      <c r="Z89" s="41">
        <v>2896312</v>
      </c>
      <c r="AA89" s="41" t="str">
        <f t="shared" si="23"/>
        <v>PJ60130</v>
      </c>
      <c r="AB89" s="41" t="s">
        <v>1930</v>
      </c>
      <c r="AC89" s="41">
        <v>2896313</v>
      </c>
      <c r="AD89" s="41">
        <v>4225</v>
      </c>
      <c r="AE89" s="41">
        <v>4954435</v>
      </c>
      <c r="AF89" s="259" t="s">
        <v>330</v>
      </c>
      <c r="AG89" s="259" t="s">
        <v>413</v>
      </c>
      <c r="AH89" s="50" t="s">
        <v>271</v>
      </c>
    </row>
    <row r="90" spans="1:34" ht="51">
      <c r="A90" s="261" t="s">
        <v>73</v>
      </c>
      <c r="B90" s="23" t="s">
        <v>1763</v>
      </c>
      <c r="C90" s="258" t="s">
        <v>538</v>
      </c>
      <c r="D90" s="258" t="s">
        <v>1793</v>
      </c>
      <c r="E90" s="258" t="s">
        <v>265</v>
      </c>
      <c r="F90" s="305" t="s">
        <v>1620</v>
      </c>
      <c r="H90" s="15" t="s">
        <v>284</v>
      </c>
      <c r="I90" s="261"/>
      <c r="J90" s="292" t="s">
        <v>103</v>
      </c>
      <c r="L90" s="23" t="s">
        <v>277</v>
      </c>
      <c r="Q90" s="258">
        <v>4</v>
      </c>
      <c r="R90" s="258" t="str">
        <f t="shared" si="22"/>
        <v>SC60301</v>
      </c>
      <c r="S90" s="258" t="str">
        <f t="shared" si="22"/>
        <v>DO06883</v>
      </c>
      <c r="T90" s="267" t="s">
        <v>1795</v>
      </c>
      <c r="U90" s="258">
        <v>2896304</v>
      </c>
      <c r="V90" s="324">
        <v>2663</v>
      </c>
      <c r="W90" s="303" t="s">
        <v>1164</v>
      </c>
      <c r="X90" s="41" t="str">
        <f t="shared" si="21"/>
        <v>PJ60129</v>
      </c>
      <c r="Y90" s="41" t="s">
        <v>1929</v>
      </c>
      <c r="Z90" s="41" t="s">
        <v>294</v>
      </c>
      <c r="AA90" s="41" t="str">
        <f t="shared" si="23"/>
        <v>PJ60130</v>
      </c>
      <c r="AB90" s="41" t="s">
        <v>1930</v>
      </c>
      <c r="AC90" s="41" t="s">
        <v>294</v>
      </c>
      <c r="AD90" s="41">
        <v>4225</v>
      </c>
      <c r="AE90" s="41">
        <v>4954435</v>
      </c>
      <c r="AF90" s="259" t="s">
        <v>330</v>
      </c>
      <c r="AG90" s="259" t="s">
        <v>413</v>
      </c>
      <c r="AH90" s="50" t="s">
        <v>271</v>
      </c>
    </row>
    <row r="91" spans="1:34" ht="38.25">
      <c r="A91" s="23" t="s">
        <v>73</v>
      </c>
      <c r="B91" s="23" t="s">
        <v>1763</v>
      </c>
      <c r="C91" s="23" t="s">
        <v>1787</v>
      </c>
      <c r="D91" s="23" t="s">
        <v>1788</v>
      </c>
      <c r="E91" s="23" t="s">
        <v>1789</v>
      </c>
      <c r="F91" s="23" t="s">
        <v>2068</v>
      </c>
      <c r="H91" s="308" t="s">
        <v>2371</v>
      </c>
      <c r="I91" s="23"/>
      <c r="J91" s="309" t="s">
        <v>2415</v>
      </c>
      <c r="K91" s="23" t="s">
        <v>294</v>
      </c>
      <c r="L91" s="23" t="s">
        <v>277</v>
      </c>
      <c r="Q91" s="23">
        <v>72</v>
      </c>
      <c r="R91" s="274" t="str">
        <f>C91</f>
        <v>SC60444</v>
      </c>
      <c r="S91" s="274" t="str">
        <f>D91</f>
        <v>DO06589</v>
      </c>
      <c r="T91" s="287" t="s">
        <v>1791</v>
      </c>
      <c r="U91" s="23">
        <v>4999113</v>
      </c>
      <c r="V91" s="309">
        <v>2685</v>
      </c>
      <c r="W91" s="41">
        <v>4954429</v>
      </c>
      <c r="X91" s="41" t="str">
        <f t="shared" si="21"/>
        <v>PJ06919</v>
      </c>
      <c r="Y91" s="41" t="s">
        <v>1845</v>
      </c>
      <c r="Z91" s="41">
        <v>4998682</v>
      </c>
      <c r="AA91" s="41" t="str">
        <f>IF(AG91="VEE", RIGHT(F91,7),"n/a")</f>
        <v>PJ06920</v>
      </c>
      <c r="AB91" s="41" t="s">
        <v>1846</v>
      </c>
      <c r="AC91" s="41">
        <v>4999076</v>
      </c>
      <c r="AD91" s="41">
        <v>4341</v>
      </c>
      <c r="AE91" s="41" t="s">
        <v>583</v>
      </c>
      <c r="AF91" s="23" t="s">
        <v>330</v>
      </c>
      <c r="AG91" s="41" t="s">
        <v>413</v>
      </c>
      <c r="AH91" s="50" t="s">
        <v>271</v>
      </c>
    </row>
    <row r="92" spans="1:34" ht="25.5">
      <c r="A92" s="309" t="s">
        <v>73</v>
      </c>
      <c r="B92" s="302" t="s">
        <v>1763</v>
      </c>
      <c r="C92" s="302" t="s">
        <v>2329</v>
      </c>
      <c r="D92" s="302" t="s">
        <v>2330</v>
      </c>
      <c r="E92" s="302" t="s">
        <v>2331</v>
      </c>
      <c r="F92" s="309" t="s">
        <v>2362</v>
      </c>
      <c r="H92" s="308" t="s">
        <v>2359</v>
      </c>
      <c r="I92" s="302"/>
      <c r="J92" s="345" t="s">
        <v>0</v>
      </c>
      <c r="K92" s="302"/>
      <c r="L92" s="304" t="s">
        <v>275</v>
      </c>
      <c r="M92" s="302"/>
      <c r="N92" s="302"/>
      <c r="O92" s="302"/>
      <c r="P92" s="302"/>
      <c r="Q92" s="302"/>
      <c r="R92" s="302" t="s">
        <v>2329</v>
      </c>
      <c r="S92" s="302" t="s">
        <v>2330</v>
      </c>
      <c r="T92" s="302" t="s">
        <v>2328</v>
      </c>
      <c r="U92" s="304" t="s">
        <v>294</v>
      </c>
      <c r="V92" s="321">
        <v>2690</v>
      </c>
      <c r="W92" s="309">
        <v>4954429</v>
      </c>
      <c r="X92" s="304" t="str">
        <f t="shared" ref="X92:X93" si="24">LEFT(F92,7)</f>
        <v>PJ60255</v>
      </c>
      <c r="Y92" s="304" t="s">
        <v>2183</v>
      </c>
      <c r="Z92" s="304" t="s">
        <v>294</v>
      </c>
      <c r="AA92" s="304" t="str">
        <f t="shared" ref="AA92:AA93" si="25">IF(AG92="VEE", RIGHT(F92,7),"n/a")</f>
        <v>PJ60256</v>
      </c>
      <c r="AB92" s="346" t="s">
        <v>2184</v>
      </c>
      <c r="AC92" s="304" t="s">
        <v>294</v>
      </c>
      <c r="AD92" s="321">
        <v>4352</v>
      </c>
      <c r="AE92" s="304">
        <v>4954431</v>
      </c>
      <c r="AF92" s="302" t="s">
        <v>330</v>
      </c>
      <c r="AG92" s="302" t="s">
        <v>413</v>
      </c>
      <c r="AH92" s="50" t="s">
        <v>271</v>
      </c>
    </row>
    <row r="93" spans="1:34" ht="76.5" customHeight="1">
      <c r="A93" s="309" t="s">
        <v>73</v>
      </c>
      <c r="B93" s="302" t="s">
        <v>1763</v>
      </c>
      <c r="C93" s="302" t="s">
        <v>2333</v>
      </c>
      <c r="D93" s="302" t="s">
        <v>2334</v>
      </c>
      <c r="E93" s="302" t="s">
        <v>2335</v>
      </c>
      <c r="F93" s="309" t="s">
        <v>2363</v>
      </c>
      <c r="H93" s="308" t="s">
        <v>2371</v>
      </c>
      <c r="I93" s="302"/>
      <c r="J93" s="345" t="s">
        <v>0</v>
      </c>
      <c r="K93" s="302"/>
      <c r="L93" s="304" t="s">
        <v>275</v>
      </c>
      <c r="M93" s="302"/>
      <c r="N93" s="302"/>
      <c r="O93" s="302"/>
      <c r="P93" s="302"/>
      <c r="Q93" s="302">
        <v>72</v>
      </c>
      <c r="R93" s="302" t="s">
        <v>2333</v>
      </c>
      <c r="S93" s="302" t="s">
        <v>2334</v>
      </c>
      <c r="T93" s="302" t="s">
        <v>2332</v>
      </c>
      <c r="U93" s="304" t="s">
        <v>294</v>
      </c>
      <c r="V93" s="321">
        <v>2690</v>
      </c>
      <c r="W93" s="309">
        <v>4954429</v>
      </c>
      <c r="X93" s="304" t="str">
        <f t="shared" si="24"/>
        <v>PJ60257</v>
      </c>
      <c r="Y93" s="304" t="s">
        <v>2185</v>
      </c>
      <c r="Z93" s="304" t="s">
        <v>294</v>
      </c>
      <c r="AA93" s="304" t="str">
        <f t="shared" si="25"/>
        <v>PJ60258</v>
      </c>
      <c r="AB93" s="346" t="s">
        <v>2186</v>
      </c>
      <c r="AC93" s="304" t="s">
        <v>294</v>
      </c>
      <c r="AD93" s="321">
        <v>4352</v>
      </c>
      <c r="AE93" s="304">
        <v>4954431</v>
      </c>
      <c r="AF93" s="302" t="s">
        <v>330</v>
      </c>
      <c r="AG93" s="302" t="s">
        <v>413</v>
      </c>
      <c r="AH93" s="50" t="s">
        <v>271</v>
      </c>
    </row>
    <row r="94" spans="1:34" ht="76.5" customHeight="1">
      <c r="A94" s="69" t="s">
        <v>1192</v>
      </c>
      <c r="B94" s="69" t="s">
        <v>1193</v>
      </c>
      <c r="C94" s="69" t="s">
        <v>1194</v>
      </c>
      <c r="D94" s="69" t="s">
        <v>1195</v>
      </c>
      <c r="E94" s="69" t="s">
        <v>1196</v>
      </c>
      <c r="F94" s="70" t="s">
        <v>1674</v>
      </c>
      <c r="G94" s="69"/>
      <c r="H94" s="71" t="s">
        <v>1198</v>
      </c>
      <c r="I94" s="223" t="s">
        <v>351</v>
      </c>
      <c r="J94" s="70" t="s">
        <v>1199</v>
      </c>
      <c r="K94" s="69"/>
      <c r="L94" s="70" t="s">
        <v>277</v>
      </c>
      <c r="M94" s="69"/>
      <c r="N94" s="69"/>
      <c r="O94" s="69"/>
      <c r="P94" s="69"/>
      <c r="Q94" s="69">
        <v>47</v>
      </c>
      <c r="R94" s="69" t="s">
        <v>1194</v>
      </c>
      <c r="S94" s="69" t="s">
        <v>1195</v>
      </c>
      <c r="T94" s="69" t="s">
        <v>2205</v>
      </c>
      <c r="U94" s="69">
        <v>4014442</v>
      </c>
      <c r="V94" s="69">
        <v>2652</v>
      </c>
      <c r="W94" s="70">
        <v>3426369</v>
      </c>
      <c r="X94" s="70" t="str">
        <f t="shared" ref="X94:X117" si="26">LEFT(F94,7)</f>
        <v>PJ07705</v>
      </c>
      <c r="Y94" s="70" t="s">
        <v>1675</v>
      </c>
      <c r="Z94" s="70">
        <v>4014413</v>
      </c>
      <c r="AA94" s="70" t="str">
        <f t="shared" ref="AA94:AA124" si="27">IF(AG94="VEE", RIGHT(F94,7),"n/a")</f>
        <v>PJ07706</v>
      </c>
      <c r="AB94" s="70" t="s">
        <v>1676</v>
      </c>
      <c r="AC94" s="70">
        <v>4014414</v>
      </c>
      <c r="AD94" s="70">
        <v>4225</v>
      </c>
      <c r="AE94" s="70">
        <v>3426369</v>
      </c>
      <c r="AF94" s="69" t="s">
        <v>330</v>
      </c>
      <c r="AG94" s="69" t="s">
        <v>413</v>
      </c>
      <c r="AH94" s="71"/>
    </row>
    <row r="95" spans="1:34" ht="76.5" customHeight="1">
      <c r="A95" s="69" t="s">
        <v>1192</v>
      </c>
      <c r="B95" s="69" t="s">
        <v>1193</v>
      </c>
      <c r="C95" s="69" t="s">
        <v>1201</v>
      </c>
      <c r="D95" s="69" t="s">
        <v>557</v>
      </c>
      <c r="E95" s="69" t="s">
        <v>1196</v>
      </c>
      <c r="F95" s="70" t="s">
        <v>2070</v>
      </c>
      <c r="G95" s="69"/>
      <c r="H95" s="71" t="s">
        <v>1198</v>
      </c>
      <c r="I95" s="223" t="s">
        <v>415</v>
      </c>
      <c r="J95" s="70" t="s">
        <v>1199</v>
      </c>
      <c r="K95" s="69"/>
      <c r="L95" s="70" t="s">
        <v>277</v>
      </c>
      <c r="M95" s="69"/>
      <c r="N95" s="69"/>
      <c r="O95" s="69"/>
      <c r="P95" s="69"/>
      <c r="Q95" s="69">
        <v>47</v>
      </c>
      <c r="R95" s="69" t="s">
        <v>1201</v>
      </c>
      <c r="S95" s="69" t="s">
        <v>557</v>
      </c>
      <c r="T95" s="69" t="s">
        <v>2213</v>
      </c>
      <c r="U95" s="69">
        <v>4306469</v>
      </c>
      <c r="V95" s="69">
        <v>2652</v>
      </c>
      <c r="W95" s="70" t="s">
        <v>1164</v>
      </c>
      <c r="X95" s="70" t="str">
        <f t="shared" si="26"/>
        <v>PJ07768</v>
      </c>
      <c r="Y95" s="70" t="s">
        <v>1868</v>
      </c>
      <c r="Z95" s="70">
        <v>4015211</v>
      </c>
      <c r="AA95" s="70" t="str">
        <f t="shared" si="27"/>
        <v>PJ07769</v>
      </c>
      <c r="AB95" s="70" t="s">
        <v>1869</v>
      </c>
      <c r="AC95" s="70">
        <v>4015212</v>
      </c>
      <c r="AD95" s="70">
        <v>4225</v>
      </c>
      <c r="AE95" s="70">
        <v>3426369</v>
      </c>
      <c r="AF95" s="69" t="s">
        <v>330</v>
      </c>
      <c r="AG95" s="69" t="s">
        <v>413</v>
      </c>
      <c r="AH95" s="71"/>
    </row>
    <row r="96" spans="1:34" ht="76.5" customHeight="1">
      <c r="A96" s="69" t="s">
        <v>1192</v>
      </c>
      <c r="B96" s="69" t="s">
        <v>1193</v>
      </c>
      <c r="C96" s="69" t="s">
        <v>1202</v>
      </c>
      <c r="D96" s="69" t="s">
        <v>1195</v>
      </c>
      <c r="E96" s="69" t="s">
        <v>1203</v>
      </c>
      <c r="F96" s="70" t="s">
        <v>1679</v>
      </c>
      <c r="G96" s="69"/>
      <c r="H96" s="71" t="s">
        <v>1204</v>
      </c>
      <c r="I96" s="223" t="s">
        <v>351</v>
      </c>
      <c r="J96" s="70" t="s">
        <v>1199</v>
      </c>
      <c r="K96" s="69"/>
      <c r="L96" s="70" t="s">
        <v>277</v>
      </c>
      <c r="M96" s="69"/>
      <c r="N96" s="69"/>
      <c r="O96" s="69"/>
      <c r="P96" s="69"/>
      <c r="Q96" s="69">
        <v>44</v>
      </c>
      <c r="R96" s="69" t="s">
        <v>1202</v>
      </c>
      <c r="S96" s="69" t="s">
        <v>1195</v>
      </c>
      <c r="T96" s="69" t="s">
        <v>2029</v>
      </c>
      <c r="U96" s="69">
        <v>4014462</v>
      </c>
      <c r="V96" s="69">
        <v>2652</v>
      </c>
      <c r="W96" s="70">
        <v>3426369</v>
      </c>
      <c r="X96" s="70" t="str">
        <f t="shared" si="26"/>
        <v>PJ07725</v>
      </c>
      <c r="Y96" s="70" t="s">
        <v>1680</v>
      </c>
      <c r="Z96" s="70">
        <v>4014423</v>
      </c>
      <c r="AA96" s="70" t="str">
        <f t="shared" si="27"/>
        <v>PJ07726</v>
      </c>
      <c r="AB96" s="70" t="s">
        <v>1681</v>
      </c>
      <c r="AC96" s="70">
        <v>4014424</v>
      </c>
      <c r="AD96" s="70">
        <v>4225</v>
      </c>
      <c r="AE96" s="70">
        <v>3607754</v>
      </c>
      <c r="AF96" s="69" t="s">
        <v>330</v>
      </c>
      <c r="AG96" s="69" t="s">
        <v>413</v>
      </c>
      <c r="AH96" s="71"/>
    </row>
    <row r="97" spans="1:34" ht="76.5" customHeight="1">
      <c r="A97" s="69" t="s">
        <v>1192</v>
      </c>
      <c r="B97" s="69" t="s">
        <v>1193</v>
      </c>
      <c r="C97" s="69" t="s">
        <v>1205</v>
      </c>
      <c r="D97" s="69" t="s">
        <v>557</v>
      </c>
      <c r="E97" s="69" t="s">
        <v>1203</v>
      </c>
      <c r="F97" s="70" t="s">
        <v>2067</v>
      </c>
      <c r="G97" s="69"/>
      <c r="H97" s="71" t="s">
        <v>1204</v>
      </c>
      <c r="I97" s="223" t="s">
        <v>415</v>
      </c>
      <c r="J97" s="70" t="s">
        <v>1199</v>
      </c>
      <c r="K97" s="69"/>
      <c r="L97" s="70" t="s">
        <v>277</v>
      </c>
      <c r="M97" s="69"/>
      <c r="N97" s="69"/>
      <c r="O97" s="69"/>
      <c r="P97" s="69"/>
      <c r="Q97" s="69">
        <v>44</v>
      </c>
      <c r="R97" s="69" t="s">
        <v>1205</v>
      </c>
      <c r="S97" s="69" t="s">
        <v>557</v>
      </c>
      <c r="T97" s="69" t="s">
        <v>2046</v>
      </c>
      <c r="U97" s="69">
        <v>4306474</v>
      </c>
      <c r="V97" s="69">
        <v>2652</v>
      </c>
      <c r="W97" s="70" t="s">
        <v>1164</v>
      </c>
      <c r="X97" s="70" t="str">
        <f t="shared" si="26"/>
        <v>PJ07735</v>
      </c>
      <c r="Y97" s="70" t="s">
        <v>1851</v>
      </c>
      <c r="Z97" s="70">
        <v>4306501</v>
      </c>
      <c r="AA97" s="70" t="str">
        <f t="shared" si="27"/>
        <v>PJ07736</v>
      </c>
      <c r="AB97" s="70" t="s">
        <v>1852</v>
      </c>
      <c r="AC97" s="70">
        <v>4306502</v>
      </c>
      <c r="AD97" s="70">
        <v>4225</v>
      </c>
      <c r="AE97" s="70">
        <v>3607754</v>
      </c>
      <c r="AF97" s="69" t="s">
        <v>330</v>
      </c>
      <c r="AG97" s="69" t="s">
        <v>413</v>
      </c>
      <c r="AH97" s="71"/>
    </row>
    <row r="98" spans="1:34" ht="76.5" customHeight="1">
      <c r="A98" s="69" t="s">
        <v>1192</v>
      </c>
      <c r="B98" s="69" t="s">
        <v>1193</v>
      </c>
      <c r="C98" s="69" t="s">
        <v>1206</v>
      </c>
      <c r="D98" s="69" t="s">
        <v>1195</v>
      </c>
      <c r="E98" s="69" t="s">
        <v>1207</v>
      </c>
      <c r="F98" s="223" t="s">
        <v>1778</v>
      </c>
      <c r="G98" s="69"/>
      <c r="H98" s="71" t="s">
        <v>1209</v>
      </c>
      <c r="I98" s="223" t="s">
        <v>351</v>
      </c>
      <c r="J98" s="70" t="s">
        <v>1199</v>
      </c>
      <c r="K98" s="69"/>
      <c r="L98" s="70" t="s">
        <v>277</v>
      </c>
      <c r="M98" s="69"/>
      <c r="N98" s="69"/>
      <c r="O98" s="69"/>
      <c r="P98" s="69"/>
      <c r="Q98" s="69">
        <v>48</v>
      </c>
      <c r="R98" s="69" t="s">
        <v>1206</v>
      </c>
      <c r="S98" s="69" t="s">
        <v>1195</v>
      </c>
      <c r="T98" s="69" t="s">
        <v>2208</v>
      </c>
      <c r="U98" s="69">
        <v>4014453</v>
      </c>
      <c r="V98" s="69">
        <v>2652</v>
      </c>
      <c r="W98" s="70">
        <v>3426369</v>
      </c>
      <c r="X98" s="70" t="str">
        <f t="shared" si="26"/>
        <v>PJ07707</v>
      </c>
      <c r="Y98" s="70" t="s">
        <v>1780</v>
      </c>
      <c r="Z98" s="70">
        <v>4014415</v>
      </c>
      <c r="AA98" s="70" t="str">
        <f t="shared" si="27"/>
        <v>PJ07708</v>
      </c>
      <c r="AB98" s="70" t="s">
        <v>1779</v>
      </c>
      <c r="AC98" s="70">
        <v>4014416</v>
      </c>
      <c r="AD98" s="70">
        <v>4225</v>
      </c>
      <c r="AE98" s="70">
        <v>3607754</v>
      </c>
      <c r="AF98" s="69" t="s">
        <v>330</v>
      </c>
      <c r="AG98" s="69" t="s">
        <v>413</v>
      </c>
      <c r="AH98" s="71"/>
    </row>
    <row r="99" spans="1:34" ht="76.5" customHeight="1">
      <c r="A99" s="69" t="s">
        <v>1192</v>
      </c>
      <c r="B99" s="69" t="s">
        <v>1193</v>
      </c>
      <c r="C99" s="69" t="s">
        <v>1211</v>
      </c>
      <c r="D99" s="69" t="s">
        <v>557</v>
      </c>
      <c r="E99" s="69" t="s">
        <v>1207</v>
      </c>
      <c r="F99" s="70" t="s">
        <v>2071</v>
      </c>
      <c r="G99" s="69"/>
      <c r="H99" s="71" t="s">
        <v>1209</v>
      </c>
      <c r="I99" s="223" t="s">
        <v>415</v>
      </c>
      <c r="J99" s="70" t="s">
        <v>1199</v>
      </c>
      <c r="K99" s="69"/>
      <c r="L99" s="70" t="s">
        <v>277</v>
      </c>
      <c r="M99" s="69"/>
      <c r="N99" s="69"/>
      <c r="O99" s="69"/>
      <c r="P99" s="69"/>
      <c r="Q99" s="69">
        <v>48</v>
      </c>
      <c r="R99" s="69" t="s">
        <v>1211</v>
      </c>
      <c r="S99" s="69" t="s">
        <v>557</v>
      </c>
      <c r="T99" s="69" t="s">
        <v>2235</v>
      </c>
      <c r="U99" s="69">
        <v>4306477</v>
      </c>
      <c r="V99" s="69">
        <v>2652</v>
      </c>
      <c r="W99" s="70" t="s">
        <v>1164</v>
      </c>
      <c r="X99" s="70" t="str">
        <f t="shared" si="26"/>
        <v>PJ07770</v>
      </c>
      <c r="Y99" s="70" t="s">
        <v>1870</v>
      </c>
      <c r="Z99" s="70">
        <v>4015213</v>
      </c>
      <c r="AA99" s="70" t="str">
        <f t="shared" si="27"/>
        <v>PJ07771</v>
      </c>
      <c r="AB99" s="70" t="s">
        <v>1871</v>
      </c>
      <c r="AC99" s="70">
        <v>4015214</v>
      </c>
      <c r="AD99" s="70">
        <v>4225</v>
      </c>
      <c r="AE99" s="70">
        <v>3607754</v>
      </c>
      <c r="AF99" s="69" t="s">
        <v>330</v>
      </c>
      <c r="AG99" s="69" t="s">
        <v>413</v>
      </c>
      <c r="AH99" s="71"/>
    </row>
    <row r="100" spans="1:34" ht="76.5" customHeight="1">
      <c r="A100" s="69" t="s">
        <v>1192</v>
      </c>
      <c r="B100" s="69" t="s">
        <v>1193</v>
      </c>
      <c r="C100" s="69" t="s">
        <v>1212</v>
      </c>
      <c r="D100" s="69" t="s">
        <v>1195</v>
      </c>
      <c r="E100" s="69" t="s">
        <v>1213</v>
      </c>
      <c r="F100" s="223" t="s">
        <v>1778</v>
      </c>
      <c r="G100" s="69"/>
      <c r="H100" s="71" t="s">
        <v>1214</v>
      </c>
      <c r="I100" s="223" t="s">
        <v>351</v>
      </c>
      <c r="J100" s="70" t="s">
        <v>1199</v>
      </c>
      <c r="K100" s="69"/>
      <c r="L100" s="70" t="s">
        <v>277</v>
      </c>
      <c r="M100" s="69"/>
      <c r="N100" s="69"/>
      <c r="O100" s="69"/>
      <c r="P100" s="69"/>
      <c r="Q100" s="69">
        <v>50</v>
      </c>
      <c r="R100" s="69" t="s">
        <v>1212</v>
      </c>
      <c r="S100" s="69" t="s">
        <v>1195</v>
      </c>
      <c r="T100" s="69" t="s">
        <v>2018</v>
      </c>
      <c r="U100" s="69">
        <v>4014443</v>
      </c>
      <c r="V100" s="69">
        <v>2652</v>
      </c>
      <c r="W100" s="70">
        <v>3426369</v>
      </c>
      <c r="X100" s="70" t="str">
        <f t="shared" si="26"/>
        <v>PJ07707</v>
      </c>
      <c r="Y100" s="70" t="s">
        <v>1780</v>
      </c>
      <c r="Z100" s="70">
        <v>4014415</v>
      </c>
      <c r="AA100" s="70" t="str">
        <f t="shared" si="27"/>
        <v>PJ07708</v>
      </c>
      <c r="AB100" s="70" t="s">
        <v>1779</v>
      </c>
      <c r="AC100" s="70">
        <v>4014416</v>
      </c>
      <c r="AD100" s="70">
        <v>4225</v>
      </c>
      <c r="AE100" s="70">
        <v>3607754</v>
      </c>
      <c r="AF100" s="69" t="s">
        <v>330</v>
      </c>
      <c r="AG100" s="69" t="s">
        <v>413</v>
      </c>
      <c r="AH100" s="71"/>
    </row>
    <row r="101" spans="1:34" ht="76.5" customHeight="1">
      <c r="A101" s="69" t="s">
        <v>1192</v>
      </c>
      <c r="B101" s="69" t="s">
        <v>1193</v>
      </c>
      <c r="C101" s="69" t="s">
        <v>1215</v>
      </c>
      <c r="D101" s="69" t="s">
        <v>557</v>
      </c>
      <c r="E101" s="69" t="s">
        <v>1213</v>
      </c>
      <c r="F101" s="70" t="s">
        <v>2071</v>
      </c>
      <c r="G101" s="69"/>
      <c r="H101" s="71" t="s">
        <v>1214</v>
      </c>
      <c r="I101" s="223" t="s">
        <v>415</v>
      </c>
      <c r="J101" s="70" t="s">
        <v>1199</v>
      </c>
      <c r="K101" s="69"/>
      <c r="L101" s="70" t="s">
        <v>277</v>
      </c>
      <c r="M101" s="69"/>
      <c r="N101" s="69"/>
      <c r="O101" s="69"/>
      <c r="P101" s="69"/>
      <c r="Q101" s="69">
        <v>50</v>
      </c>
      <c r="R101" s="69" t="s">
        <v>1215</v>
      </c>
      <c r="S101" s="69" t="s">
        <v>557</v>
      </c>
      <c r="T101" s="69" t="s">
        <v>2045</v>
      </c>
      <c r="U101" s="69">
        <v>4306480</v>
      </c>
      <c r="V101" s="69">
        <v>2652</v>
      </c>
      <c r="W101" s="70" t="s">
        <v>1164</v>
      </c>
      <c r="X101" s="70" t="str">
        <f t="shared" si="26"/>
        <v>PJ07770</v>
      </c>
      <c r="Y101" s="70" t="s">
        <v>1870</v>
      </c>
      <c r="Z101" s="70">
        <v>4015213</v>
      </c>
      <c r="AA101" s="70" t="str">
        <f t="shared" si="27"/>
        <v>PJ07771</v>
      </c>
      <c r="AB101" s="70" t="s">
        <v>1871</v>
      </c>
      <c r="AC101" s="70">
        <v>4015214</v>
      </c>
      <c r="AD101" s="70">
        <v>4225</v>
      </c>
      <c r="AE101" s="70">
        <v>3607754</v>
      </c>
      <c r="AF101" s="69" t="s">
        <v>330</v>
      </c>
      <c r="AG101" s="69" t="s">
        <v>413</v>
      </c>
      <c r="AH101" s="71"/>
    </row>
    <row r="102" spans="1:34" ht="76.5" customHeight="1">
      <c r="A102" s="69" t="s">
        <v>1192</v>
      </c>
      <c r="B102" s="69" t="s">
        <v>1193</v>
      </c>
      <c r="C102" s="69" t="s">
        <v>1216</v>
      </c>
      <c r="D102" s="69" t="s">
        <v>1195</v>
      </c>
      <c r="E102" s="69" t="s">
        <v>1217</v>
      </c>
      <c r="F102" s="70" t="s">
        <v>1679</v>
      </c>
      <c r="G102" s="69"/>
      <c r="H102" s="71" t="s">
        <v>1218</v>
      </c>
      <c r="I102" s="223" t="s">
        <v>351</v>
      </c>
      <c r="J102" s="70" t="s">
        <v>1199</v>
      </c>
      <c r="K102" s="69"/>
      <c r="L102" s="70" t="s">
        <v>277</v>
      </c>
      <c r="M102" s="69"/>
      <c r="N102" s="69"/>
      <c r="O102" s="69"/>
      <c r="P102" s="69"/>
      <c r="Q102" s="69">
        <v>41</v>
      </c>
      <c r="R102" s="69" t="s">
        <v>1216</v>
      </c>
      <c r="S102" s="69" t="s">
        <v>1195</v>
      </c>
      <c r="T102" s="69" t="s">
        <v>1219</v>
      </c>
      <c r="U102" s="69">
        <v>4014434</v>
      </c>
      <c r="V102" s="69">
        <v>2652</v>
      </c>
      <c r="W102" s="70">
        <v>3426369</v>
      </c>
      <c r="X102" s="70" t="str">
        <f t="shared" si="26"/>
        <v>PJ07725</v>
      </c>
      <c r="Y102" s="70" t="s">
        <v>1680</v>
      </c>
      <c r="Z102" s="70">
        <v>4014423</v>
      </c>
      <c r="AA102" s="70" t="str">
        <f t="shared" si="27"/>
        <v>PJ07726</v>
      </c>
      <c r="AB102" s="70" t="s">
        <v>1681</v>
      </c>
      <c r="AC102" s="70">
        <v>4014424</v>
      </c>
      <c r="AD102" s="70">
        <v>4225</v>
      </c>
      <c r="AE102" s="70">
        <v>3607754</v>
      </c>
      <c r="AF102" s="69" t="s">
        <v>330</v>
      </c>
      <c r="AG102" s="69" t="s">
        <v>413</v>
      </c>
      <c r="AH102" s="71"/>
    </row>
    <row r="103" spans="1:34" ht="76.5" customHeight="1">
      <c r="A103" s="69" t="s">
        <v>1192</v>
      </c>
      <c r="B103" s="69" t="s">
        <v>1193</v>
      </c>
      <c r="C103" s="69" t="s">
        <v>1220</v>
      </c>
      <c r="D103" s="69" t="s">
        <v>557</v>
      </c>
      <c r="E103" s="69" t="s">
        <v>1217</v>
      </c>
      <c r="F103" s="70" t="s">
        <v>2067</v>
      </c>
      <c r="G103" s="69"/>
      <c r="H103" s="71" t="s">
        <v>1218</v>
      </c>
      <c r="I103" s="223" t="s">
        <v>415</v>
      </c>
      <c r="J103" s="70" t="s">
        <v>1199</v>
      </c>
      <c r="K103" s="69"/>
      <c r="L103" s="70" t="s">
        <v>277</v>
      </c>
      <c r="M103" s="69"/>
      <c r="N103" s="69"/>
      <c r="O103" s="69"/>
      <c r="P103" s="69"/>
      <c r="Q103" s="69">
        <v>41</v>
      </c>
      <c r="R103" s="69" t="s">
        <v>1220</v>
      </c>
      <c r="S103" s="69" t="s">
        <v>557</v>
      </c>
      <c r="T103" s="69" t="s">
        <v>1221</v>
      </c>
      <c r="U103" s="69">
        <v>4306475</v>
      </c>
      <c r="V103" s="69">
        <v>2652</v>
      </c>
      <c r="W103" s="70" t="s">
        <v>1164</v>
      </c>
      <c r="X103" s="70" t="str">
        <f t="shared" si="26"/>
        <v>PJ07735</v>
      </c>
      <c r="Y103" s="70" t="s">
        <v>1851</v>
      </c>
      <c r="Z103" s="70">
        <v>4306501</v>
      </c>
      <c r="AA103" s="70" t="str">
        <f t="shared" si="27"/>
        <v>PJ07736</v>
      </c>
      <c r="AB103" s="70" t="s">
        <v>1852</v>
      </c>
      <c r="AC103" s="70">
        <v>4306502</v>
      </c>
      <c r="AD103" s="70">
        <v>4225</v>
      </c>
      <c r="AE103" s="70">
        <v>3607754</v>
      </c>
      <c r="AF103" s="69" t="s">
        <v>330</v>
      </c>
      <c r="AG103" s="69" t="s">
        <v>413</v>
      </c>
      <c r="AH103" s="71"/>
    </row>
    <row r="104" spans="1:34" ht="76.5" customHeight="1">
      <c r="A104" s="69" t="s">
        <v>1192</v>
      </c>
      <c r="B104" s="69" t="s">
        <v>1193</v>
      </c>
      <c r="C104" s="69" t="s">
        <v>1222</v>
      </c>
      <c r="D104" s="69" t="s">
        <v>1195</v>
      </c>
      <c r="E104" s="69" t="s">
        <v>1223</v>
      </c>
      <c r="F104" s="70" t="s">
        <v>1674</v>
      </c>
      <c r="G104" s="69"/>
      <c r="H104" s="71" t="s">
        <v>1224</v>
      </c>
      <c r="I104" s="223" t="s">
        <v>351</v>
      </c>
      <c r="J104" s="70" t="s">
        <v>1199</v>
      </c>
      <c r="K104" s="69"/>
      <c r="L104" s="70" t="s">
        <v>277</v>
      </c>
      <c r="M104" s="69"/>
      <c r="N104" s="69"/>
      <c r="O104" s="69"/>
      <c r="P104" s="69"/>
      <c r="Q104" s="69">
        <v>49</v>
      </c>
      <c r="R104" s="69" t="s">
        <v>1222</v>
      </c>
      <c r="S104" s="69" t="s">
        <v>1195</v>
      </c>
      <c r="T104" s="69" t="s">
        <v>2210</v>
      </c>
      <c r="U104" s="69">
        <v>4014455</v>
      </c>
      <c r="V104" s="69">
        <v>2652</v>
      </c>
      <c r="W104" s="70">
        <v>3426369</v>
      </c>
      <c r="X104" s="70" t="str">
        <f t="shared" si="26"/>
        <v>PJ07705</v>
      </c>
      <c r="Y104" s="70" t="s">
        <v>1675</v>
      </c>
      <c r="Z104" s="70">
        <v>4014413</v>
      </c>
      <c r="AA104" s="70" t="str">
        <f t="shared" si="27"/>
        <v>PJ07706</v>
      </c>
      <c r="AB104" s="70" t="s">
        <v>1676</v>
      </c>
      <c r="AC104" s="70">
        <v>4014414</v>
      </c>
      <c r="AD104" s="70">
        <v>4225</v>
      </c>
      <c r="AE104" s="70">
        <v>3426369</v>
      </c>
      <c r="AF104" s="69" t="s">
        <v>330</v>
      </c>
      <c r="AG104" s="69" t="s">
        <v>413</v>
      </c>
      <c r="AH104" s="71"/>
    </row>
    <row r="105" spans="1:34" ht="76.5" customHeight="1">
      <c r="A105" s="69" t="s">
        <v>1192</v>
      </c>
      <c r="B105" s="69" t="s">
        <v>1193</v>
      </c>
      <c r="C105" s="69" t="s">
        <v>1225</v>
      </c>
      <c r="D105" s="69" t="s">
        <v>557</v>
      </c>
      <c r="E105" s="69" t="s">
        <v>1223</v>
      </c>
      <c r="F105" s="70" t="s">
        <v>2070</v>
      </c>
      <c r="G105" s="69"/>
      <c r="H105" s="71" t="s">
        <v>1224</v>
      </c>
      <c r="I105" s="223" t="s">
        <v>415</v>
      </c>
      <c r="J105" s="70" t="s">
        <v>1199</v>
      </c>
      <c r="K105" s="69"/>
      <c r="L105" s="70" t="s">
        <v>277</v>
      </c>
      <c r="M105" s="69"/>
      <c r="N105" s="69"/>
      <c r="O105" s="69"/>
      <c r="P105" s="69"/>
      <c r="Q105" s="69">
        <v>49</v>
      </c>
      <c r="R105" s="69" t="s">
        <v>1225</v>
      </c>
      <c r="S105" s="69" t="s">
        <v>557</v>
      </c>
      <c r="T105" s="69" t="s">
        <v>2214</v>
      </c>
      <c r="U105" s="69">
        <v>4306471</v>
      </c>
      <c r="V105" s="69">
        <v>2652</v>
      </c>
      <c r="W105" s="70" t="s">
        <v>1164</v>
      </c>
      <c r="X105" s="70" t="str">
        <f t="shared" si="26"/>
        <v>PJ07768</v>
      </c>
      <c r="Y105" s="70" t="s">
        <v>1868</v>
      </c>
      <c r="Z105" s="70">
        <v>4015211</v>
      </c>
      <c r="AA105" s="70" t="str">
        <f t="shared" si="27"/>
        <v>PJ07769</v>
      </c>
      <c r="AB105" s="70" t="s">
        <v>1869</v>
      </c>
      <c r="AC105" s="70">
        <v>4015212</v>
      </c>
      <c r="AD105" s="70">
        <v>4225</v>
      </c>
      <c r="AE105" s="70">
        <v>3426369</v>
      </c>
      <c r="AF105" s="69" t="s">
        <v>330</v>
      </c>
      <c r="AG105" s="69" t="s">
        <v>413</v>
      </c>
      <c r="AH105" s="71"/>
    </row>
    <row r="106" spans="1:34" ht="76.5" customHeight="1">
      <c r="A106" s="69" t="s">
        <v>1192</v>
      </c>
      <c r="B106" s="69" t="s">
        <v>1193</v>
      </c>
      <c r="C106" s="69" t="s">
        <v>1226</v>
      </c>
      <c r="D106" s="69" t="s">
        <v>1195</v>
      </c>
      <c r="E106" s="69" t="s">
        <v>1227</v>
      </c>
      <c r="F106" s="70" t="s">
        <v>1674</v>
      </c>
      <c r="G106" s="69"/>
      <c r="H106" s="71" t="s">
        <v>1228</v>
      </c>
      <c r="I106" s="223" t="s">
        <v>351</v>
      </c>
      <c r="J106" s="70" t="s">
        <v>1199</v>
      </c>
      <c r="K106" s="69"/>
      <c r="L106" s="70" t="s">
        <v>277</v>
      </c>
      <c r="M106" s="69"/>
      <c r="N106" s="69"/>
      <c r="O106" s="69"/>
      <c r="P106" s="69"/>
      <c r="Q106" s="69">
        <v>51</v>
      </c>
      <c r="R106" s="69" t="s">
        <v>1226</v>
      </c>
      <c r="S106" s="69" t="s">
        <v>1195</v>
      </c>
      <c r="T106" s="69" t="s">
        <v>1229</v>
      </c>
      <c r="U106" s="69">
        <v>4014456</v>
      </c>
      <c r="V106" s="69">
        <v>2652</v>
      </c>
      <c r="W106" s="70">
        <v>3426369</v>
      </c>
      <c r="X106" s="70" t="str">
        <f t="shared" si="26"/>
        <v>PJ07705</v>
      </c>
      <c r="Y106" s="70" t="s">
        <v>1675</v>
      </c>
      <c r="Z106" s="70">
        <v>4014413</v>
      </c>
      <c r="AA106" s="70" t="str">
        <f t="shared" si="27"/>
        <v>PJ07706</v>
      </c>
      <c r="AB106" s="70" t="s">
        <v>1676</v>
      </c>
      <c r="AC106" s="70">
        <v>4014414</v>
      </c>
      <c r="AD106" s="70">
        <v>4225</v>
      </c>
      <c r="AE106" s="70">
        <v>3426369</v>
      </c>
      <c r="AF106" s="69" t="s">
        <v>330</v>
      </c>
      <c r="AG106" s="69" t="s">
        <v>413</v>
      </c>
      <c r="AH106" s="71"/>
    </row>
    <row r="107" spans="1:34" ht="76.5" customHeight="1">
      <c r="A107" s="69" t="s">
        <v>1192</v>
      </c>
      <c r="B107" s="69" t="s">
        <v>1193</v>
      </c>
      <c r="C107" s="69" t="s">
        <v>1230</v>
      </c>
      <c r="D107" s="69" t="s">
        <v>557</v>
      </c>
      <c r="E107" s="69" t="s">
        <v>1227</v>
      </c>
      <c r="F107" s="70" t="s">
        <v>2070</v>
      </c>
      <c r="G107" s="69"/>
      <c r="H107" s="71" t="s">
        <v>1228</v>
      </c>
      <c r="I107" s="223" t="s">
        <v>415</v>
      </c>
      <c r="J107" s="70" t="s">
        <v>1199</v>
      </c>
      <c r="K107" s="69"/>
      <c r="L107" s="70" t="s">
        <v>277</v>
      </c>
      <c r="M107" s="69"/>
      <c r="N107" s="69"/>
      <c r="O107" s="69"/>
      <c r="P107" s="69"/>
      <c r="Q107" s="69">
        <v>51</v>
      </c>
      <c r="R107" s="69" t="s">
        <v>1230</v>
      </c>
      <c r="S107" s="69" t="s">
        <v>557</v>
      </c>
      <c r="T107" s="69" t="s">
        <v>1231</v>
      </c>
      <c r="U107" s="69">
        <v>4306478</v>
      </c>
      <c r="V107" s="69">
        <v>2652</v>
      </c>
      <c r="W107" s="70" t="s">
        <v>1164</v>
      </c>
      <c r="X107" s="70" t="str">
        <f t="shared" si="26"/>
        <v>PJ07768</v>
      </c>
      <c r="Y107" s="70" t="s">
        <v>1868</v>
      </c>
      <c r="Z107" s="70">
        <v>4015211</v>
      </c>
      <c r="AA107" s="70" t="str">
        <f t="shared" si="27"/>
        <v>PJ07769</v>
      </c>
      <c r="AB107" s="70" t="s">
        <v>1869</v>
      </c>
      <c r="AC107" s="70">
        <v>4015212</v>
      </c>
      <c r="AD107" s="70">
        <v>4225</v>
      </c>
      <c r="AE107" s="70">
        <v>3426369</v>
      </c>
      <c r="AF107" s="69" t="s">
        <v>330</v>
      </c>
      <c r="AG107" s="69" t="s">
        <v>413</v>
      </c>
      <c r="AH107" s="71"/>
    </row>
    <row r="108" spans="1:34" ht="76.5" customHeight="1">
      <c r="A108" s="69" t="s">
        <v>1192</v>
      </c>
      <c r="B108" s="69" t="s">
        <v>1193</v>
      </c>
      <c r="C108" s="69" t="s">
        <v>1232</v>
      </c>
      <c r="D108" s="69" t="s">
        <v>1195</v>
      </c>
      <c r="E108" s="69" t="s">
        <v>1233</v>
      </c>
      <c r="F108" s="70" t="s">
        <v>1674</v>
      </c>
      <c r="G108" s="69"/>
      <c r="H108" s="71" t="s">
        <v>1234</v>
      </c>
      <c r="I108" s="223" t="s">
        <v>351</v>
      </c>
      <c r="J108" s="70" t="s">
        <v>1199</v>
      </c>
      <c r="K108" s="69"/>
      <c r="L108" s="70" t="s">
        <v>277</v>
      </c>
      <c r="M108" s="69"/>
      <c r="N108" s="69"/>
      <c r="O108" s="69"/>
      <c r="P108" s="69"/>
      <c r="Q108" s="69">
        <v>45</v>
      </c>
      <c r="R108" s="69" t="s">
        <v>1232</v>
      </c>
      <c r="S108" s="69" t="s">
        <v>1195</v>
      </c>
      <c r="T108" s="69" t="s">
        <v>2209</v>
      </c>
      <c r="U108" s="69">
        <v>4014454</v>
      </c>
      <c r="V108" s="69">
        <v>2652</v>
      </c>
      <c r="W108" s="70">
        <v>3426369</v>
      </c>
      <c r="X108" s="70" t="str">
        <f t="shared" si="26"/>
        <v>PJ07705</v>
      </c>
      <c r="Y108" s="70" t="s">
        <v>1675</v>
      </c>
      <c r="Z108" s="70" t="s">
        <v>1677</v>
      </c>
      <c r="AA108" s="70" t="str">
        <f t="shared" si="27"/>
        <v>PJ07706</v>
      </c>
      <c r="AB108" s="70" t="s">
        <v>1676</v>
      </c>
      <c r="AC108" s="70" t="s">
        <v>1678</v>
      </c>
      <c r="AD108" s="70">
        <v>4225</v>
      </c>
      <c r="AE108" s="70">
        <v>3426369</v>
      </c>
      <c r="AF108" s="69" t="s">
        <v>330</v>
      </c>
      <c r="AG108" s="69" t="s">
        <v>413</v>
      </c>
      <c r="AH108" s="71"/>
    </row>
    <row r="109" spans="1:34" ht="76.5" customHeight="1">
      <c r="A109" s="69" t="s">
        <v>1192</v>
      </c>
      <c r="B109" s="69" t="s">
        <v>1193</v>
      </c>
      <c r="C109" s="69" t="s">
        <v>1235</v>
      </c>
      <c r="D109" s="69" t="s">
        <v>557</v>
      </c>
      <c r="E109" s="69" t="s">
        <v>1233</v>
      </c>
      <c r="F109" s="70" t="s">
        <v>2070</v>
      </c>
      <c r="G109" s="69"/>
      <c r="H109" s="71" t="s">
        <v>1234</v>
      </c>
      <c r="I109" s="223" t="s">
        <v>415</v>
      </c>
      <c r="J109" s="70" t="s">
        <v>1199</v>
      </c>
      <c r="K109" s="69"/>
      <c r="L109" s="70" t="s">
        <v>277</v>
      </c>
      <c r="M109" s="69"/>
      <c r="N109" s="69"/>
      <c r="O109" s="69"/>
      <c r="P109" s="69"/>
      <c r="Q109" s="69">
        <v>45</v>
      </c>
      <c r="R109" s="69" t="s">
        <v>1235</v>
      </c>
      <c r="S109" s="69" t="s">
        <v>557</v>
      </c>
      <c r="T109" s="69" t="s">
        <v>2237</v>
      </c>
      <c r="U109" s="69">
        <v>4306479</v>
      </c>
      <c r="V109" s="69">
        <v>2652</v>
      </c>
      <c r="W109" s="70" t="s">
        <v>1164</v>
      </c>
      <c r="X109" s="70" t="str">
        <f t="shared" si="26"/>
        <v>PJ07768</v>
      </c>
      <c r="Y109" s="70" t="s">
        <v>1868</v>
      </c>
      <c r="Z109" s="70">
        <v>4015211</v>
      </c>
      <c r="AA109" s="70" t="str">
        <f t="shared" si="27"/>
        <v>PJ07769</v>
      </c>
      <c r="AB109" s="70" t="s">
        <v>1869</v>
      </c>
      <c r="AC109" s="70">
        <v>4015212</v>
      </c>
      <c r="AD109" s="70">
        <v>4225</v>
      </c>
      <c r="AE109" s="70">
        <v>3426369</v>
      </c>
      <c r="AF109" s="69" t="s">
        <v>330</v>
      </c>
      <c r="AG109" s="69" t="s">
        <v>413</v>
      </c>
      <c r="AH109" s="71"/>
    </row>
    <row r="110" spans="1:34" ht="76.5" customHeight="1">
      <c r="A110" s="69" t="s">
        <v>1192</v>
      </c>
      <c r="B110" s="69" t="s">
        <v>1193</v>
      </c>
      <c r="C110" s="69" t="s">
        <v>1236</v>
      </c>
      <c r="D110" s="69" t="s">
        <v>1195</v>
      </c>
      <c r="E110" s="69" t="s">
        <v>1237</v>
      </c>
      <c r="F110" s="70" t="s">
        <v>1682</v>
      </c>
      <c r="G110" s="69"/>
      <c r="H110" s="71" t="s">
        <v>1239</v>
      </c>
      <c r="I110" s="223" t="s">
        <v>351</v>
      </c>
      <c r="J110" s="70" t="s">
        <v>1199</v>
      </c>
      <c r="K110" s="69"/>
      <c r="L110" s="70" t="s">
        <v>277</v>
      </c>
      <c r="M110" s="69"/>
      <c r="N110" s="69"/>
      <c r="O110" s="69"/>
      <c r="P110" s="69"/>
      <c r="Q110" s="69">
        <v>53</v>
      </c>
      <c r="R110" s="69" t="s">
        <v>1236</v>
      </c>
      <c r="S110" s="69" t="s">
        <v>1195</v>
      </c>
      <c r="T110" s="69" t="s">
        <v>1240</v>
      </c>
      <c r="U110" s="69">
        <v>4014437</v>
      </c>
      <c r="V110" s="69">
        <v>2652</v>
      </c>
      <c r="W110" s="70">
        <v>3426369</v>
      </c>
      <c r="X110" s="70" t="str">
        <f t="shared" si="26"/>
        <v>PJ07727</v>
      </c>
      <c r="Y110" s="70" t="s">
        <v>1683</v>
      </c>
      <c r="Z110" s="70">
        <v>4014425</v>
      </c>
      <c r="AA110" s="70" t="str">
        <f t="shared" si="27"/>
        <v>PJ07728</v>
      </c>
      <c r="AB110" s="70" t="s">
        <v>1684</v>
      </c>
      <c r="AC110" s="70">
        <v>4014426</v>
      </c>
      <c r="AD110" s="70">
        <v>4225</v>
      </c>
      <c r="AE110" s="70">
        <v>3426369</v>
      </c>
      <c r="AF110" s="69" t="s">
        <v>330</v>
      </c>
      <c r="AG110" s="69" t="s">
        <v>413</v>
      </c>
      <c r="AH110" s="71"/>
    </row>
    <row r="111" spans="1:34" ht="76.5" customHeight="1">
      <c r="A111" s="69" t="s">
        <v>1192</v>
      </c>
      <c r="B111" s="69" t="s">
        <v>1193</v>
      </c>
      <c r="C111" s="69" t="s">
        <v>1243</v>
      </c>
      <c r="D111" s="69" t="s">
        <v>557</v>
      </c>
      <c r="E111" s="69" t="s">
        <v>1237</v>
      </c>
      <c r="F111" s="70" t="s">
        <v>2074</v>
      </c>
      <c r="G111" s="69"/>
      <c r="H111" s="71" t="s">
        <v>1239</v>
      </c>
      <c r="I111" s="223" t="s">
        <v>415</v>
      </c>
      <c r="J111" s="70" t="s">
        <v>1199</v>
      </c>
      <c r="K111" s="69"/>
      <c r="L111" s="70" t="s">
        <v>277</v>
      </c>
      <c r="M111" s="69"/>
      <c r="N111" s="69"/>
      <c r="O111" s="69"/>
      <c r="P111" s="69"/>
      <c r="Q111" s="69">
        <v>53</v>
      </c>
      <c r="R111" s="69" t="s">
        <v>1243</v>
      </c>
      <c r="S111" s="69" t="s">
        <v>557</v>
      </c>
      <c r="T111" s="69" t="s">
        <v>1244</v>
      </c>
      <c r="U111" s="69">
        <v>4306473</v>
      </c>
      <c r="V111" s="69">
        <v>2652</v>
      </c>
      <c r="W111" s="70" t="s">
        <v>1164</v>
      </c>
      <c r="X111" s="70" t="str">
        <f t="shared" si="26"/>
        <v>PJ07780</v>
      </c>
      <c r="Y111" s="70" t="s">
        <v>1874</v>
      </c>
      <c r="Z111" s="70">
        <v>4015223</v>
      </c>
      <c r="AA111" s="70" t="str">
        <f t="shared" si="27"/>
        <v>PJ07781</v>
      </c>
      <c r="AB111" s="70" t="s">
        <v>1875</v>
      </c>
      <c r="AC111" s="70">
        <v>4015224</v>
      </c>
      <c r="AD111" s="70">
        <v>4225</v>
      </c>
      <c r="AE111" s="70">
        <v>3426369</v>
      </c>
      <c r="AF111" s="69" t="s">
        <v>330</v>
      </c>
      <c r="AG111" s="69" t="s">
        <v>413</v>
      </c>
      <c r="AH111" s="71"/>
    </row>
    <row r="112" spans="1:34" ht="76.5" customHeight="1">
      <c r="A112" s="69" t="s">
        <v>1192</v>
      </c>
      <c r="B112" s="69" t="s">
        <v>1193</v>
      </c>
      <c r="C112" s="69" t="s">
        <v>1245</v>
      </c>
      <c r="D112" s="69" t="s">
        <v>1195</v>
      </c>
      <c r="E112" s="69" t="s">
        <v>1246</v>
      </c>
      <c r="F112" s="70" t="s">
        <v>1682</v>
      </c>
      <c r="G112" s="69"/>
      <c r="H112" s="71" t="s">
        <v>1247</v>
      </c>
      <c r="I112" s="223" t="s">
        <v>351</v>
      </c>
      <c r="J112" s="70" t="s">
        <v>1199</v>
      </c>
      <c r="K112" s="69"/>
      <c r="L112" s="70" t="s">
        <v>277</v>
      </c>
      <c r="M112" s="69"/>
      <c r="N112" s="69"/>
      <c r="O112" s="69"/>
      <c r="P112" s="69"/>
      <c r="Q112" s="69">
        <v>52</v>
      </c>
      <c r="R112" s="69" t="s">
        <v>1245</v>
      </c>
      <c r="S112" s="69" t="s">
        <v>1195</v>
      </c>
      <c r="T112" s="69" t="s">
        <v>1248</v>
      </c>
      <c r="U112" s="69">
        <v>4014439</v>
      </c>
      <c r="V112" s="69">
        <v>2652</v>
      </c>
      <c r="W112" s="70">
        <v>3426369</v>
      </c>
      <c r="X112" s="70" t="str">
        <f t="shared" si="26"/>
        <v>PJ07727</v>
      </c>
      <c r="Y112" s="70" t="s">
        <v>1683</v>
      </c>
      <c r="Z112" s="70">
        <v>4014425</v>
      </c>
      <c r="AA112" s="70" t="str">
        <f t="shared" si="27"/>
        <v>PJ07728</v>
      </c>
      <c r="AB112" s="70" t="s">
        <v>1684</v>
      </c>
      <c r="AC112" s="70">
        <v>4014426</v>
      </c>
      <c r="AD112" s="70">
        <v>4225</v>
      </c>
      <c r="AE112" s="70">
        <v>3426369</v>
      </c>
      <c r="AF112" s="69" t="s">
        <v>330</v>
      </c>
      <c r="AG112" s="69" t="s">
        <v>413</v>
      </c>
      <c r="AH112" s="71"/>
    </row>
    <row r="113" spans="1:34" ht="76.5" customHeight="1">
      <c r="A113" s="69" t="s">
        <v>1192</v>
      </c>
      <c r="B113" s="69" t="s">
        <v>1193</v>
      </c>
      <c r="C113" s="69" t="s">
        <v>1249</v>
      </c>
      <c r="D113" s="69" t="s">
        <v>557</v>
      </c>
      <c r="E113" s="69" t="s">
        <v>1246</v>
      </c>
      <c r="F113" s="70" t="s">
        <v>2074</v>
      </c>
      <c r="G113" s="69"/>
      <c r="H113" s="71" t="s">
        <v>1247</v>
      </c>
      <c r="I113" s="223" t="s">
        <v>415</v>
      </c>
      <c r="J113" s="70" t="s">
        <v>1199</v>
      </c>
      <c r="K113" s="69"/>
      <c r="L113" s="70" t="s">
        <v>277</v>
      </c>
      <c r="M113" s="69"/>
      <c r="N113" s="69"/>
      <c r="O113" s="69"/>
      <c r="P113" s="69"/>
      <c r="Q113" s="69">
        <v>52</v>
      </c>
      <c r="R113" s="69" t="s">
        <v>1249</v>
      </c>
      <c r="S113" s="69" t="s">
        <v>557</v>
      </c>
      <c r="T113" s="69" t="s">
        <v>1250</v>
      </c>
      <c r="U113" s="69">
        <v>4306472</v>
      </c>
      <c r="V113" s="69">
        <v>2652</v>
      </c>
      <c r="W113" s="70" t="s">
        <v>1164</v>
      </c>
      <c r="X113" s="70" t="str">
        <f t="shared" si="26"/>
        <v>PJ07780</v>
      </c>
      <c r="Y113" s="70" t="s">
        <v>1874</v>
      </c>
      <c r="Z113" s="70">
        <v>4015223</v>
      </c>
      <c r="AA113" s="70" t="str">
        <f t="shared" si="27"/>
        <v>PJ07781</v>
      </c>
      <c r="AB113" s="70" t="s">
        <v>1875</v>
      </c>
      <c r="AC113" s="70">
        <v>4015224</v>
      </c>
      <c r="AD113" s="70">
        <v>4225</v>
      </c>
      <c r="AE113" s="70">
        <v>3426369</v>
      </c>
      <c r="AF113" s="69" t="s">
        <v>330</v>
      </c>
      <c r="AG113" s="69" t="s">
        <v>413</v>
      </c>
      <c r="AH113" s="71"/>
    </row>
    <row r="114" spans="1:34" ht="76.5" customHeight="1">
      <c r="A114" s="69" t="s">
        <v>1192</v>
      </c>
      <c r="B114" s="69" t="s">
        <v>1193</v>
      </c>
      <c r="C114" s="69" t="s">
        <v>1251</v>
      </c>
      <c r="D114" s="69" t="s">
        <v>1195</v>
      </c>
      <c r="E114" s="69" t="s">
        <v>1252</v>
      </c>
      <c r="F114" s="70" t="s">
        <v>1679</v>
      </c>
      <c r="G114" s="69"/>
      <c r="H114" s="179" t="s">
        <v>1322</v>
      </c>
      <c r="I114" s="223" t="s">
        <v>351</v>
      </c>
      <c r="J114" s="70" t="s">
        <v>1199</v>
      </c>
      <c r="K114" s="69"/>
      <c r="L114" s="70" t="s">
        <v>277</v>
      </c>
      <c r="M114" s="69"/>
      <c r="N114" s="69"/>
      <c r="O114" s="69"/>
      <c r="P114" s="69"/>
      <c r="Q114" s="69">
        <v>42</v>
      </c>
      <c r="R114" s="69" t="s">
        <v>1251</v>
      </c>
      <c r="S114" s="69" t="s">
        <v>1195</v>
      </c>
      <c r="T114" s="69" t="s">
        <v>1253</v>
      </c>
      <c r="U114" s="69">
        <v>4014440</v>
      </c>
      <c r="V114" s="69">
        <v>2652</v>
      </c>
      <c r="W114" s="70">
        <v>3426369</v>
      </c>
      <c r="X114" s="70" t="str">
        <f t="shared" si="26"/>
        <v>PJ07725</v>
      </c>
      <c r="Y114" s="70" t="s">
        <v>1680</v>
      </c>
      <c r="Z114" s="70">
        <v>4014423</v>
      </c>
      <c r="AA114" s="70" t="str">
        <f t="shared" si="27"/>
        <v>PJ07726</v>
      </c>
      <c r="AB114" s="70" t="s">
        <v>1681</v>
      </c>
      <c r="AC114" s="70">
        <v>4014424</v>
      </c>
      <c r="AD114" s="70">
        <v>4225</v>
      </c>
      <c r="AE114" s="70">
        <v>3607754</v>
      </c>
      <c r="AF114" s="69" t="s">
        <v>330</v>
      </c>
      <c r="AG114" s="69" t="s">
        <v>413</v>
      </c>
      <c r="AH114" s="71"/>
    </row>
    <row r="115" spans="1:34" ht="76.5" customHeight="1">
      <c r="A115" s="69" t="s">
        <v>1192</v>
      </c>
      <c r="B115" s="69" t="s">
        <v>1193</v>
      </c>
      <c r="C115" s="69" t="s">
        <v>1254</v>
      </c>
      <c r="D115" s="69" t="s">
        <v>557</v>
      </c>
      <c r="E115" s="69" t="s">
        <v>1252</v>
      </c>
      <c r="F115" s="70" t="s">
        <v>2067</v>
      </c>
      <c r="G115" s="69"/>
      <c r="H115" s="179" t="s">
        <v>1322</v>
      </c>
      <c r="I115" s="223" t="s">
        <v>415</v>
      </c>
      <c r="J115" s="70" t="s">
        <v>1199</v>
      </c>
      <c r="K115" s="69"/>
      <c r="L115" s="70" t="s">
        <v>277</v>
      </c>
      <c r="M115" s="69"/>
      <c r="N115" s="69"/>
      <c r="O115" s="69"/>
      <c r="P115" s="69"/>
      <c r="Q115" s="69">
        <v>42</v>
      </c>
      <c r="R115" s="69" t="s">
        <v>1254</v>
      </c>
      <c r="S115" s="69" t="s">
        <v>557</v>
      </c>
      <c r="T115" s="69" t="s">
        <v>1255</v>
      </c>
      <c r="U115" s="69">
        <v>4306483</v>
      </c>
      <c r="V115" s="69">
        <v>2652</v>
      </c>
      <c r="W115" s="70" t="s">
        <v>1164</v>
      </c>
      <c r="X115" s="70" t="str">
        <f t="shared" si="26"/>
        <v>PJ07735</v>
      </c>
      <c r="Y115" s="70" t="s">
        <v>1851</v>
      </c>
      <c r="Z115" s="70">
        <v>4306501</v>
      </c>
      <c r="AA115" s="70" t="str">
        <f t="shared" si="27"/>
        <v>PJ07736</v>
      </c>
      <c r="AB115" s="70" t="s">
        <v>1852</v>
      </c>
      <c r="AC115" s="70">
        <v>4306502</v>
      </c>
      <c r="AD115" s="70">
        <v>4225</v>
      </c>
      <c r="AE115" s="70">
        <v>3607754</v>
      </c>
      <c r="AF115" s="69" t="s">
        <v>330</v>
      </c>
      <c r="AG115" s="69" t="s">
        <v>413</v>
      </c>
      <c r="AH115" s="71"/>
    </row>
    <row r="116" spans="1:34" ht="76.5" customHeight="1">
      <c r="A116" s="69" t="s">
        <v>1192</v>
      </c>
      <c r="B116" s="69" t="s">
        <v>1193</v>
      </c>
      <c r="C116" s="69" t="s">
        <v>1256</v>
      </c>
      <c r="D116" s="69" t="s">
        <v>1195</v>
      </c>
      <c r="E116" s="69" t="s">
        <v>1257</v>
      </c>
      <c r="F116" s="223" t="s">
        <v>1778</v>
      </c>
      <c r="G116" s="69"/>
      <c r="H116" s="71" t="s">
        <v>1258</v>
      </c>
      <c r="I116" s="223" t="s">
        <v>351</v>
      </c>
      <c r="J116" s="70" t="s">
        <v>1199</v>
      </c>
      <c r="K116" s="69"/>
      <c r="L116" s="70" t="s">
        <v>277</v>
      </c>
      <c r="M116" s="69"/>
      <c r="N116" s="69"/>
      <c r="O116" s="69"/>
      <c r="P116" s="69"/>
      <c r="Q116" s="69">
        <v>46</v>
      </c>
      <c r="R116" s="69" t="s">
        <v>1256</v>
      </c>
      <c r="S116" s="69" t="s">
        <v>1195</v>
      </c>
      <c r="T116" s="69" t="s">
        <v>2212</v>
      </c>
      <c r="U116" s="69">
        <v>4014460</v>
      </c>
      <c r="V116" s="69">
        <v>2652</v>
      </c>
      <c r="W116" s="70">
        <v>3426369</v>
      </c>
      <c r="X116" s="70" t="str">
        <f t="shared" si="26"/>
        <v>PJ07707</v>
      </c>
      <c r="Y116" s="70" t="s">
        <v>1780</v>
      </c>
      <c r="Z116" s="70">
        <v>4014415</v>
      </c>
      <c r="AA116" s="70" t="str">
        <f t="shared" si="27"/>
        <v>PJ07708</v>
      </c>
      <c r="AB116" s="70" t="s">
        <v>1779</v>
      </c>
      <c r="AC116" s="70">
        <v>4014416</v>
      </c>
      <c r="AD116" s="70">
        <v>4225</v>
      </c>
      <c r="AE116" s="70">
        <v>3607754</v>
      </c>
      <c r="AF116" s="69" t="s">
        <v>330</v>
      </c>
      <c r="AG116" s="69" t="s">
        <v>413</v>
      </c>
      <c r="AH116" s="71"/>
    </row>
    <row r="117" spans="1:34" ht="76.5" customHeight="1">
      <c r="A117" s="69" t="s">
        <v>1192</v>
      </c>
      <c r="B117" s="69" t="s">
        <v>1193</v>
      </c>
      <c r="C117" s="69" t="s">
        <v>1259</v>
      </c>
      <c r="D117" s="69" t="s">
        <v>557</v>
      </c>
      <c r="E117" s="69" t="s">
        <v>1257</v>
      </c>
      <c r="F117" s="70" t="s">
        <v>2071</v>
      </c>
      <c r="G117" s="69"/>
      <c r="H117" s="71" t="s">
        <v>1258</v>
      </c>
      <c r="I117" s="223" t="s">
        <v>415</v>
      </c>
      <c r="J117" s="70" t="s">
        <v>1199</v>
      </c>
      <c r="K117" s="69"/>
      <c r="L117" s="70" t="s">
        <v>277</v>
      </c>
      <c r="M117" s="69"/>
      <c r="N117" s="69"/>
      <c r="O117" s="69"/>
      <c r="P117" s="69"/>
      <c r="Q117" s="69">
        <v>46</v>
      </c>
      <c r="R117" s="69" t="s">
        <v>1259</v>
      </c>
      <c r="S117" s="69" t="s">
        <v>557</v>
      </c>
      <c r="T117" s="69" t="s">
        <v>2236</v>
      </c>
      <c r="U117" s="69">
        <v>4306481</v>
      </c>
      <c r="V117" s="69">
        <v>2652</v>
      </c>
      <c r="W117" s="70" t="s">
        <v>1164</v>
      </c>
      <c r="X117" s="70" t="str">
        <f t="shared" si="26"/>
        <v>PJ07770</v>
      </c>
      <c r="Y117" s="70" t="s">
        <v>1870</v>
      </c>
      <c r="Z117" s="70">
        <v>4015213</v>
      </c>
      <c r="AA117" s="70" t="str">
        <f t="shared" si="27"/>
        <v>PJ07771</v>
      </c>
      <c r="AB117" s="70" t="s">
        <v>1871</v>
      </c>
      <c r="AC117" s="70">
        <v>4015214</v>
      </c>
      <c r="AD117" s="70">
        <v>4225</v>
      </c>
      <c r="AE117" s="70">
        <v>3607754</v>
      </c>
      <c r="AF117" s="69" t="s">
        <v>330</v>
      </c>
      <c r="AG117" s="69" t="s">
        <v>413</v>
      </c>
      <c r="AH117" s="71"/>
    </row>
    <row r="118" spans="1:34" ht="76.5" customHeight="1">
      <c r="A118" s="69" t="s">
        <v>1192</v>
      </c>
      <c r="B118" s="69" t="s">
        <v>1193</v>
      </c>
      <c r="C118" s="69" t="s">
        <v>1260</v>
      </c>
      <c r="D118" s="69" t="s">
        <v>1195</v>
      </c>
      <c r="E118" s="69" t="s">
        <v>1261</v>
      </c>
      <c r="F118" s="70" t="s">
        <v>1679</v>
      </c>
      <c r="G118" s="69"/>
      <c r="H118" s="71" t="s">
        <v>1262</v>
      </c>
      <c r="I118" s="223" t="s">
        <v>351</v>
      </c>
      <c r="J118" s="70" t="s">
        <v>1199</v>
      </c>
      <c r="K118" s="69"/>
      <c r="L118" s="70" t="s">
        <v>277</v>
      </c>
      <c r="M118" s="69"/>
      <c r="N118" s="69"/>
      <c r="O118" s="69"/>
      <c r="P118" s="69"/>
      <c r="Q118" s="69">
        <v>43</v>
      </c>
      <c r="R118" s="69" t="s">
        <v>1260</v>
      </c>
      <c r="S118" s="69" t="s">
        <v>1195</v>
      </c>
      <c r="T118" s="69" t="s">
        <v>1263</v>
      </c>
      <c r="U118" s="69">
        <v>4014463</v>
      </c>
      <c r="V118" s="69">
        <v>2652</v>
      </c>
      <c r="W118" s="70">
        <v>3426369</v>
      </c>
      <c r="X118" s="70" t="str">
        <f t="shared" ref="X118:X124" si="28">LEFT(F118,7)</f>
        <v>PJ07725</v>
      </c>
      <c r="Y118" s="70" t="s">
        <v>1680</v>
      </c>
      <c r="Z118" s="70">
        <v>4014423</v>
      </c>
      <c r="AA118" s="70" t="str">
        <f t="shared" si="27"/>
        <v>PJ07726</v>
      </c>
      <c r="AB118" s="70" t="s">
        <v>1681</v>
      </c>
      <c r="AC118" s="70">
        <v>4014424</v>
      </c>
      <c r="AD118" s="70">
        <v>4225</v>
      </c>
      <c r="AE118" s="70">
        <v>3607754</v>
      </c>
      <c r="AF118" s="69" t="s">
        <v>330</v>
      </c>
      <c r="AG118" s="69" t="s">
        <v>413</v>
      </c>
      <c r="AH118" s="71"/>
    </row>
    <row r="119" spans="1:34" ht="76.5" customHeight="1">
      <c r="A119" s="69" t="s">
        <v>1192</v>
      </c>
      <c r="B119" s="69" t="s">
        <v>1193</v>
      </c>
      <c r="C119" s="69" t="s">
        <v>1264</v>
      </c>
      <c r="D119" s="69" t="s">
        <v>557</v>
      </c>
      <c r="E119" s="69" t="s">
        <v>1261</v>
      </c>
      <c r="F119" s="70" t="s">
        <v>2067</v>
      </c>
      <c r="G119" s="69"/>
      <c r="H119" s="71" t="s">
        <v>1262</v>
      </c>
      <c r="I119" s="223" t="s">
        <v>415</v>
      </c>
      <c r="J119" s="70" t="s">
        <v>1199</v>
      </c>
      <c r="K119" s="69"/>
      <c r="L119" s="70" t="s">
        <v>277</v>
      </c>
      <c r="M119" s="69"/>
      <c r="N119" s="69"/>
      <c r="O119" s="69"/>
      <c r="P119" s="69"/>
      <c r="Q119" s="69">
        <v>43</v>
      </c>
      <c r="R119" s="69" t="s">
        <v>1264</v>
      </c>
      <c r="S119" s="69" t="s">
        <v>557</v>
      </c>
      <c r="T119" s="69" t="s">
        <v>1265</v>
      </c>
      <c r="U119" s="69">
        <v>4306482</v>
      </c>
      <c r="V119" s="69">
        <v>2652</v>
      </c>
      <c r="W119" s="70" t="s">
        <v>1164</v>
      </c>
      <c r="X119" s="70" t="str">
        <f t="shared" si="28"/>
        <v>PJ07735</v>
      </c>
      <c r="Y119" s="70" t="s">
        <v>1851</v>
      </c>
      <c r="Z119" s="70">
        <v>4306501</v>
      </c>
      <c r="AA119" s="70" t="str">
        <f t="shared" si="27"/>
        <v>PJ07736</v>
      </c>
      <c r="AB119" s="70" t="s">
        <v>1852</v>
      </c>
      <c r="AC119" s="70">
        <v>4306502</v>
      </c>
      <c r="AD119" s="70">
        <v>4225</v>
      </c>
      <c r="AE119" s="70">
        <v>3607754</v>
      </c>
      <c r="AF119" s="69" t="s">
        <v>330</v>
      </c>
      <c r="AG119" s="69" t="s">
        <v>413</v>
      </c>
      <c r="AH119" s="71"/>
    </row>
    <row r="120" spans="1:34" ht="76.5" customHeight="1">
      <c r="A120" s="69" t="s">
        <v>1192</v>
      </c>
      <c r="B120" s="69" t="s">
        <v>1193</v>
      </c>
      <c r="C120" s="69" t="s">
        <v>1266</v>
      </c>
      <c r="D120" s="69" t="s">
        <v>557</v>
      </c>
      <c r="E120" s="69" t="s">
        <v>1267</v>
      </c>
      <c r="F120" s="70" t="s">
        <v>1208</v>
      </c>
      <c r="G120" s="69"/>
      <c r="H120" s="71" t="s">
        <v>1268</v>
      </c>
      <c r="I120" s="223" t="s">
        <v>415</v>
      </c>
      <c r="J120" s="70" t="s">
        <v>1199</v>
      </c>
      <c r="K120" s="69"/>
      <c r="L120" s="70" t="s">
        <v>277</v>
      </c>
      <c r="M120" s="69"/>
      <c r="N120" s="69"/>
      <c r="O120" s="69"/>
      <c r="P120" s="69"/>
      <c r="Q120" s="69">
        <v>54</v>
      </c>
      <c r="R120" s="69" t="s">
        <v>1266</v>
      </c>
      <c r="S120" s="69" t="s">
        <v>557</v>
      </c>
      <c r="T120" s="69" t="s">
        <v>1269</v>
      </c>
      <c r="U120" s="69">
        <v>4306485</v>
      </c>
      <c r="V120" s="69">
        <v>2652</v>
      </c>
      <c r="W120" s="70" t="s">
        <v>1164</v>
      </c>
      <c r="X120" s="70" t="str">
        <f t="shared" si="28"/>
        <v>PJ07749</v>
      </c>
      <c r="Y120" s="70" t="s">
        <v>2375</v>
      </c>
      <c r="Z120" s="70">
        <v>4306497</v>
      </c>
      <c r="AA120" s="70" t="str">
        <f t="shared" si="27"/>
        <v>PJ07748</v>
      </c>
      <c r="AB120" s="70" t="s">
        <v>1210</v>
      </c>
      <c r="AC120" s="70">
        <v>4306498</v>
      </c>
      <c r="AD120" s="70">
        <v>4225</v>
      </c>
      <c r="AE120" s="70" t="s">
        <v>1164</v>
      </c>
      <c r="AF120" s="69" t="s">
        <v>330</v>
      </c>
      <c r="AG120" s="69" t="s">
        <v>413</v>
      </c>
      <c r="AH120" s="71"/>
    </row>
    <row r="121" spans="1:34" ht="76.5" customHeight="1">
      <c r="A121" s="69" t="s">
        <v>1192</v>
      </c>
      <c r="B121" s="69" t="s">
        <v>1193</v>
      </c>
      <c r="C121" s="69" t="s">
        <v>1270</v>
      </c>
      <c r="D121" s="69" t="s">
        <v>557</v>
      </c>
      <c r="E121" s="69" t="s">
        <v>1271</v>
      </c>
      <c r="F121" s="70" t="s">
        <v>1197</v>
      </c>
      <c r="G121" s="69"/>
      <c r="H121" s="71" t="s">
        <v>1272</v>
      </c>
      <c r="I121" s="223" t="s">
        <v>415</v>
      </c>
      <c r="J121" s="70" t="s">
        <v>1199</v>
      </c>
      <c r="K121" s="69"/>
      <c r="L121" s="70" t="s">
        <v>277</v>
      </c>
      <c r="M121" s="69"/>
      <c r="N121" s="69"/>
      <c r="O121" s="69"/>
      <c r="P121" s="69"/>
      <c r="Q121" s="69">
        <v>55</v>
      </c>
      <c r="R121" s="69" t="s">
        <v>1270</v>
      </c>
      <c r="S121" s="69" t="s">
        <v>557</v>
      </c>
      <c r="T121" s="69" t="s">
        <v>1273</v>
      </c>
      <c r="U121" s="69">
        <v>4306484</v>
      </c>
      <c r="V121" s="69">
        <v>2652</v>
      </c>
      <c r="W121" s="70" t="s">
        <v>1164</v>
      </c>
      <c r="X121" s="70" t="str">
        <f t="shared" si="28"/>
        <v>PJ07734</v>
      </c>
      <c r="Y121" s="70" t="s">
        <v>2372</v>
      </c>
      <c r="Z121" s="70">
        <v>4306500</v>
      </c>
      <c r="AA121" s="70" t="str">
        <f t="shared" si="27"/>
        <v>PJ07733</v>
      </c>
      <c r="AB121" s="70" t="s">
        <v>1200</v>
      </c>
      <c r="AC121" s="70">
        <v>4306496</v>
      </c>
      <c r="AD121" s="70">
        <v>4225</v>
      </c>
      <c r="AE121" s="70" t="s">
        <v>1164</v>
      </c>
      <c r="AF121" s="69" t="s">
        <v>330</v>
      </c>
      <c r="AG121" s="69" t="s">
        <v>413</v>
      </c>
      <c r="AH121" s="71"/>
    </row>
    <row r="122" spans="1:34" ht="76.5" customHeight="1">
      <c r="A122" s="69" t="s">
        <v>1192</v>
      </c>
      <c r="B122" s="69" t="s">
        <v>1193</v>
      </c>
      <c r="C122" s="69" t="s">
        <v>1274</v>
      </c>
      <c r="D122" s="69" t="s">
        <v>557</v>
      </c>
      <c r="E122" s="69" t="s">
        <v>1275</v>
      </c>
      <c r="F122" s="70" t="s">
        <v>1238</v>
      </c>
      <c r="G122" s="69"/>
      <c r="H122" s="71" t="s">
        <v>1276</v>
      </c>
      <c r="I122" s="223" t="s">
        <v>415</v>
      </c>
      <c r="J122" s="70" t="s">
        <v>1199</v>
      </c>
      <c r="K122" s="69"/>
      <c r="L122" s="70" t="s">
        <v>277</v>
      </c>
      <c r="M122" s="69"/>
      <c r="N122" s="69"/>
      <c r="O122" s="69"/>
      <c r="P122" s="69"/>
      <c r="Q122" s="69">
        <v>56</v>
      </c>
      <c r="R122" s="69" t="s">
        <v>1274</v>
      </c>
      <c r="S122" s="69" t="s">
        <v>557</v>
      </c>
      <c r="T122" s="69" t="s">
        <v>1277</v>
      </c>
      <c r="U122" s="69">
        <v>4306486</v>
      </c>
      <c r="V122" s="69">
        <v>2652</v>
      </c>
      <c r="W122" s="70" t="s">
        <v>1164</v>
      </c>
      <c r="X122" s="70" t="str">
        <f t="shared" si="28"/>
        <v>PJ07738</v>
      </c>
      <c r="Y122" s="70" t="s">
        <v>1241</v>
      </c>
      <c r="Z122" s="70">
        <v>4306493</v>
      </c>
      <c r="AA122" s="70" t="str">
        <f t="shared" si="27"/>
        <v>PJ07737</v>
      </c>
      <c r="AB122" s="70" t="s">
        <v>1242</v>
      </c>
      <c r="AC122" s="70">
        <v>4306499</v>
      </c>
      <c r="AD122" s="70">
        <v>4225</v>
      </c>
      <c r="AE122" s="70" t="s">
        <v>1164</v>
      </c>
      <c r="AF122" s="69" t="s">
        <v>330</v>
      </c>
      <c r="AG122" s="69" t="s">
        <v>413</v>
      </c>
      <c r="AH122" s="71"/>
    </row>
    <row r="123" spans="1:34" ht="76.5" customHeight="1">
      <c r="A123" s="69" t="s">
        <v>1278</v>
      </c>
      <c r="B123" s="69" t="s">
        <v>1279</v>
      </c>
      <c r="C123" s="69" t="s">
        <v>1280</v>
      </c>
      <c r="D123" s="69" t="s">
        <v>556</v>
      </c>
      <c r="E123" s="69" t="s">
        <v>1281</v>
      </c>
      <c r="F123" s="70" t="s">
        <v>1282</v>
      </c>
      <c r="G123" s="69"/>
      <c r="H123" s="71" t="s">
        <v>1283</v>
      </c>
      <c r="I123" s="223" t="s">
        <v>415</v>
      </c>
      <c r="J123" s="70" t="s">
        <v>1199</v>
      </c>
      <c r="K123" s="69"/>
      <c r="L123" s="70" t="s">
        <v>277</v>
      </c>
      <c r="M123" s="69"/>
      <c r="N123" s="69"/>
      <c r="O123" s="69"/>
      <c r="P123" s="69"/>
      <c r="Q123" s="69">
        <v>57</v>
      </c>
      <c r="R123" s="69" t="s">
        <v>1280</v>
      </c>
      <c r="S123" s="69" t="s">
        <v>556</v>
      </c>
      <c r="T123" s="69" t="s">
        <v>1284</v>
      </c>
      <c r="U123" s="69">
        <v>4306470</v>
      </c>
      <c r="V123" s="69">
        <v>2652</v>
      </c>
      <c r="W123" s="70" t="s">
        <v>1164</v>
      </c>
      <c r="X123" s="70" t="str">
        <f t="shared" si="28"/>
        <v>PJ07718</v>
      </c>
      <c r="Y123" s="70" t="s">
        <v>1412</v>
      </c>
      <c r="Z123" s="70">
        <v>4306495</v>
      </c>
      <c r="AA123" s="70" t="str">
        <f t="shared" si="27"/>
        <v>PJ07717</v>
      </c>
      <c r="AB123" s="70" t="s">
        <v>1413</v>
      </c>
      <c r="AC123" s="70">
        <v>4306494</v>
      </c>
      <c r="AD123" s="70">
        <v>4225</v>
      </c>
      <c r="AE123" s="70" t="s">
        <v>1164</v>
      </c>
      <c r="AF123" s="69" t="s">
        <v>330</v>
      </c>
      <c r="AG123" s="69" t="s">
        <v>413</v>
      </c>
      <c r="AH123" s="71"/>
    </row>
    <row r="124" spans="1:34" ht="76.5">
      <c r="A124" s="69" t="s">
        <v>1278</v>
      </c>
      <c r="B124" s="69" t="s">
        <v>1279</v>
      </c>
      <c r="C124" s="69" t="s">
        <v>1285</v>
      </c>
      <c r="D124" s="69" t="s">
        <v>556</v>
      </c>
      <c r="E124" s="69" t="s">
        <v>1286</v>
      </c>
      <c r="F124" s="70" t="s">
        <v>1282</v>
      </c>
      <c r="G124" s="69"/>
      <c r="H124" s="71" t="s">
        <v>1287</v>
      </c>
      <c r="I124" s="223" t="s">
        <v>415</v>
      </c>
      <c r="J124" s="70" t="s">
        <v>1199</v>
      </c>
      <c r="K124" s="69"/>
      <c r="L124" s="70" t="s">
        <v>277</v>
      </c>
      <c r="M124" s="69"/>
      <c r="N124" s="69"/>
      <c r="O124" s="69"/>
      <c r="P124" s="69"/>
      <c r="Q124" s="69">
        <v>58</v>
      </c>
      <c r="R124" s="69" t="s">
        <v>1285</v>
      </c>
      <c r="S124" s="69" t="s">
        <v>556</v>
      </c>
      <c r="T124" s="69" t="s">
        <v>1288</v>
      </c>
      <c r="U124" s="69">
        <v>4306476</v>
      </c>
      <c r="V124" s="69">
        <v>2652</v>
      </c>
      <c r="W124" s="70" t="s">
        <v>1164</v>
      </c>
      <c r="X124" s="70" t="str">
        <f t="shared" si="28"/>
        <v>PJ07718</v>
      </c>
      <c r="Y124" s="70" t="s">
        <v>1412</v>
      </c>
      <c r="Z124" s="70">
        <v>4306495</v>
      </c>
      <c r="AA124" s="70" t="str">
        <f t="shared" si="27"/>
        <v>PJ07717</v>
      </c>
      <c r="AB124" s="70" t="s">
        <v>1413</v>
      </c>
      <c r="AC124" s="70">
        <v>4306494</v>
      </c>
      <c r="AD124" s="70">
        <v>4225</v>
      </c>
      <c r="AE124" s="70" t="s">
        <v>1164</v>
      </c>
      <c r="AF124" s="69" t="s">
        <v>330</v>
      </c>
      <c r="AG124" s="69" t="s">
        <v>413</v>
      </c>
      <c r="AH124" s="71"/>
    </row>
    <row r="125" spans="1:34" ht="51" customHeight="1">
      <c r="A125" s="69" t="s">
        <v>1192</v>
      </c>
      <c r="B125" s="69" t="s">
        <v>1193</v>
      </c>
      <c r="C125" s="69"/>
      <c r="D125" s="69"/>
      <c r="E125" s="70" t="s">
        <v>2073</v>
      </c>
      <c r="F125" s="70" t="s">
        <v>2072</v>
      </c>
      <c r="H125" s="71"/>
      <c r="I125" s="223" t="s">
        <v>415</v>
      </c>
      <c r="J125" s="70" t="s">
        <v>1199</v>
      </c>
      <c r="K125" s="223"/>
      <c r="L125" s="223" t="s">
        <v>277</v>
      </c>
      <c r="M125" s="223"/>
      <c r="N125" s="223"/>
      <c r="O125" s="223"/>
      <c r="P125" s="223"/>
      <c r="Q125" s="223"/>
      <c r="R125" s="223"/>
      <c r="S125" s="223"/>
      <c r="T125" s="223"/>
      <c r="U125" s="223"/>
      <c r="V125" s="332"/>
      <c r="W125" s="223"/>
      <c r="X125" s="223" t="str">
        <f>LEFT(F125,7)</f>
        <v>PJ07778</v>
      </c>
      <c r="Y125" s="223" t="s">
        <v>1872</v>
      </c>
      <c r="Z125" s="223">
        <v>4015221</v>
      </c>
      <c r="AA125" s="223" t="str">
        <f>IF(AG125="VEE", RIGHT(F125,7),"n/a")</f>
        <v>PJ07779</v>
      </c>
      <c r="AB125" s="223" t="s">
        <v>1873</v>
      </c>
      <c r="AC125" s="223">
        <v>4015222</v>
      </c>
      <c r="AD125" s="332">
        <v>4225</v>
      </c>
      <c r="AE125" s="70">
        <v>3607754</v>
      </c>
      <c r="AF125" s="223" t="s">
        <v>330</v>
      </c>
      <c r="AG125" s="223" t="s">
        <v>413</v>
      </c>
      <c r="AH125" s="223"/>
    </row>
    <row r="126" spans="1:34" ht="51" customHeight="1">
      <c r="A126" s="11" t="s">
        <v>268</v>
      </c>
      <c r="B126" s="11" t="s">
        <v>1182</v>
      </c>
      <c r="C126" s="6" t="s">
        <v>223</v>
      </c>
      <c r="D126" s="6" t="s">
        <v>158</v>
      </c>
      <c r="E126" s="6" t="s">
        <v>77</v>
      </c>
      <c r="F126" s="11" t="s">
        <v>1428</v>
      </c>
      <c r="G126" s="11"/>
      <c r="H126" s="338" t="s">
        <v>2383</v>
      </c>
      <c r="I126" s="16"/>
      <c r="J126" s="16" t="s">
        <v>0</v>
      </c>
      <c r="K126" s="16"/>
      <c r="L126" s="16" t="s">
        <v>275</v>
      </c>
      <c r="M126" s="360" t="s">
        <v>100</v>
      </c>
      <c r="N126" s="361" t="s">
        <v>72</v>
      </c>
      <c r="O126" s="362" t="s">
        <v>71</v>
      </c>
      <c r="P126" s="351" t="s">
        <v>71</v>
      </c>
      <c r="Q126" s="6">
        <v>21</v>
      </c>
      <c r="R126" s="6" t="str">
        <f t="shared" ref="R126:S162" si="29">C126</f>
        <v>SC07841</v>
      </c>
      <c r="S126" s="6" t="str">
        <f t="shared" si="29"/>
        <v>DO07063</v>
      </c>
      <c r="T126" s="227" t="s">
        <v>2248</v>
      </c>
      <c r="U126" s="168" t="s">
        <v>294</v>
      </c>
      <c r="V126" s="320">
        <v>2690</v>
      </c>
      <c r="W126" s="89" t="s">
        <v>581</v>
      </c>
      <c r="X126" s="178" t="s">
        <v>1497</v>
      </c>
      <c r="Y126" s="92" t="s">
        <v>1499</v>
      </c>
      <c r="Z126" s="88">
        <v>2896196</v>
      </c>
      <c r="AA126" s="178" t="s">
        <v>1498</v>
      </c>
      <c r="AB126" s="92" t="s">
        <v>1500</v>
      </c>
      <c r="AC126" s="88">
        <v>2896197</v>
      </c>
      <c r="AD126" s="187">
        <v>4352</v>
      </c>
      <c r="AE126" s="92" t="s">
        <v>583</v>
      </c>
      <c r="AF126" s="168" t="s">
        <v>330</v>
      </c>
      <c r="AG126" s="168" t="s">
        <v>413</v>
      </c>
      <c r="AH126" s="49" t="s">
        <v>270</v>
      </c>
    </row>
    <row r="127" spans="1:34" ht="51" customHeight="1">
      <c r="A127" s="11" t="s">
        <v>268</v>
      </c>
      <c r="B127" s="11" t="s">
        <v>1182</v>
      </c>
      <c r="C127" s="6" t="s">
        <v>224</v>
      </c>
      <c r="D127" s="6" t="s">
        <v>159</v>
      </c>
      <c r="E127" s="6" t="s">
        <v>78</v>
      </c>
      <c r="F127" s="11" t="s">
        <v>1427</v>
      </c>
      <c r="G127" s="11"/>
      <c r="H127" s="338" t="s">
        <v>2384</v>
      </c>
      <c r="I127" s="16"/>
      <c r="J127" s="16" t="s">
        <v>0</v>
      </c>
      <c r="K127" s="16"/>
      <c r="L127" s="16" t="s">
        <v>275</v>
      </c>
      <c r="M127" s="360"/>
      <c r="N127" s="361"/>
      <c r="O127" s="362"/>
      <c r="P127" s="351"/>
      <c r="Q127" s="6">
        <v>23</v>
      </c>
      <c r="R127" s="6" t="str">
        <f t="shared" si="29"/>
        <v>SC07842</v>
      </c>
      <c r="S127" s="6" t="str">
        <f t="shared" si="29"/>
        <v>DO07064</v>
      </c>
      <c r="T127" s="227" t="s">
        <v>2249</v>
      </c>
      <c r="U127" s="168" t="s">
        <v>294</v>
      </c>
      <c r="V127" s="320">
        <v>2690</v>
      </c>
      <c r="W127" s="89" t="s">
        <v>581</v>
      </c>
      <c r="X127" s="178" t="s">
        <v>1501</v>
      </c>
      <c r="Y127" s="92" t="s">
        <v>1503</v>
      </c>
      <c r="Z127" s="88">
        <v>2896198</v>
      </c>
      <c r="AA127" s="178" t="s">
        <v>1502</v>
      </c>
      <c r="AB127" s="92" t="s">
        <v>1504</v>
      </c>
      <c r="AC127" s="88">
        <v>2896199</v>
      </c>
      <c r="AD127" s="187">
        <v>4352</v>
      </c>
      <c r="AE127" s="92" t="s">
        <v>583</v>
      </c>
      <c r="AF127" s="168" t="s">
        <v>330</v>
      </c>
      <c r="AG127" s="168" t="s">
        <v>413</v>
      </c>
      <c r="AH127" s="49" t="s">
        <v>270</v>
      </c>
    </row>
    <row r="128" spans="1:34" ht="51" customHeight="1">
      <c r="A128" s="11" t="s">
        <v>268</v>
      </c>
      <c r="B128" s="11" t="s">
        <v>1182</v>
      </c>
      <c r="C128" s="6" t="s">
        <v>225</v>
      </c>
      <c r="D128" s="6" t="s">
        <v>160</v>
      </c>
      <c r="E128" s="6" t="s">
        <v>79</v>
      </c>
      <c r="F128" s="11" t="s">
        <v>1429</v>
      </c>
      <c r="G128" s="11"/>
      <c r="H128" s="338" t="s">
        <v>2385</v>
      </c>
      <c r="I128" s="16"/>
      <c r="J128" s="16" t="s">
        <v>0</v>
      </c>
      <c r="K128" s="16"/>
      <c r="L128" s="16" t="s">
        <v>275</v>
      </c>
      <c r="M128" s="360"/>
      <c r="N128" s="361"/>
      <c r="O128" s="362"/>
      <c r="P128" s="351"/>
      <c r="Q128" s="6">
        <v>17</v>
      </c>
      <c r="R128" s="6" t="str">
        <f t="shared" si="29"/>
        <v>SC07843</v>
      </c>
      <c r="S128" s="6" t="str">
        <f t="shared" si="29"/>
        <v>DO07065</v>
      </c>
      <c r="T128" s="227" t="s">
        <v>2250</v>
      </c>
      <c r="U128" s="168" t="s">
        <v>294</v>
      </c>
      <c r="V128" s="320">
        <v>2690</v>
      </c>
      <c r="W128" s="89" t="s">
        <v>581</v>
      </c>
      <c r="X128" s="178" t="s">
        <v>1505</v>
      </c>
      <c r="Y128" s="92" t="s">
        <v>1507</v>
      </c>
      <c r="Z128" s="88">
        <v>2896200</v>
      </c>
      <c r="AA128" s="178" t="s">
        <v>1506</v>
      </c>
      <c r="AB128" s="92" t="s">
        <v>1508</v>
      </c>
      <c r="AC128" s="88">
        <v>2896201</v>
      </c>
      <c r="AD128" s="187">
        <v>4352</v>
      </c>
      <c r="AE128" s="92" t="s">
        <v>583</v>
      </c>
      <c r="AF128" s="168" t="s">
        <v>330</v>
      </c>
      <c r="AG128" s="168" t="s">
        <v>413</v>
      </c>
      <c r="AH128" s="49" t="s">
        <v>270</v>
      </c>
    </row>
    <row r="129" spans="1:34" ht="51" customHeight="1">
      <c r="A129" s="11" t="s">
        <v>268</v>
      </c>
      <c r="B129" s="11" t="s">
        <v>1182</v>
      </c>
      <c r="C129" s="6" t="s">
        <v>226</v>
      </c>
      <c r="D129" s="6" t="s">
        <v>161</v>
      </c>
      <c r="E129" s="6" t="s">
        <v>80</v>
      </c>
      <c r="F129" s="11" t="s">
        <v>1430</v>
      </c>
      <c r="G129" s="11"/>
      <c r="H129" s="338" t="s">
        <v>2386</v>
      </c>
      <c r="I129" s="16"/>
      <c r="J129" s="16" t="s">
        <v>0</v>
      </c>
      <c r="K129" s="16"/>
      <c r="L129" s="16" t="s">
        <v>275</v>
      </c>
      <c r="M129" s="360"/>
      <c r="N129" s="361"/>
      <c r="O129" s="362"/>
      <c r="P129" s="351"/>
      <c r="Q129" s="6">
        <v>16</v>
      </c>
      <c r="R129" s="6" t="str">
        <f t="shared" si="29"/>
        <v>SC07844</v>
      </c>
      <c r="S129" s="6" t="str">
        <f t="shared" si="29"/>
        <v>DO07066</v>
      </c>
      <c r="T129" s="227" t="s">
        <v>2251</v>
      </c>
      <c r="U129" s="168" t="s">
        <v>294</v>
      </c>
      <c r="V129" s="320">
        <v>2690</v>
      </c>
      <c r="W129" s="89" t="s">
        <v>581</v>
      </c>
      <c r="X129" s="178" t="s">
        <v>1509</v>
      </c>
      <c r="Y129" s="92" t="s">
        <v>1511</v>
      </c>
      <c r="Z129" s="88">
        <v>2896202</v>
      </c>
      <c r="AA129" s="178" t="s">
        <v>1510</v>
      </c>
      <c r="AB129" s="92" t="s">
        <v>1512</v>
      </c>
      <c r="AC129" s="88">
        <v>2896203</v>
      </c>
      <c r="AD129" s="187">
        <v>4352</v>
      </c>
      <c r="AE129" s="92" t="s">
        <v>583</v>
      </c>
      <c r="AF129" s="168" t="s">
        <v>330</v>
      </c>
      <c r="AG129" s="168" t="s">
        <v>413</v>
      </c>
      <c r="AH129" s="49" t="s">
        <v>270</v>
      </c>
    </row>
    <row r="130" spans="1:34" ht="51" customHeight="1">
      <c r="A130" s="11" t="s">
        <v>268</v>
      </c>
      <c r="B130" s="11" t="s">
        <v>1182</v>
      </c>
      <c r="C130" s="6" t="s">
        <v>227</v>
      </c>
      <c r="D130" s="6" t="s">
        <v>162</v>
      </c>
      <c r="E130" s="6" t="s">
        <v>81</v>
      </c>
      <c r="F130" s="11" t="s">
        <v>1431</v>
      </c>
      <c r="G130" s="11"/>
      <c r="H130" s="338" t="s">
        <v>2387</v>
      </c>
      <c r="I130" s="16"/>
      <c r="J130" s="16" t="s">
        <v>0</v>
      </c>
      <c r="K130" s="16"/>
      <c r="L130" s="16" t="s">
        <v>275</v>
      </c>
      <c r="M130" s="360"/>
      <c r="N130" s="361"/>
      <c r="O130" s="362"/>
      <c r="P130" s="351"/>
      <c r="Q130" s="6">
        <v>14</v>
      </c>
      <c r="R130" s="6" t="str">
        <f t="shared" si="29"/>
        <v>SC07845</v>
      </c>
      <c r="S130" s="6" t="str">
        <f t="shared" si="29"/>
        <v>DO07067</v>
      </c>
      <c r="T130" s="227" t="s">
        <v>2252</v>
      </c>
      <c r="U130" s="168" t="s">
        <v>294</v>
      </c>
      <c r="V130" s="320">
        <v>2690</v>
      </c>
      <c r="W130" s="89" t="s">
        <v>581</v>
      </c>
      <c r="X130" s="178" t="s">
        <v>1514</v>
      </c>
      <c r="Y130" s="92" t="s">
        <v>1515</v>
      </c>
      <c r="Z130" s="88">
        <v>2896204</v>
      </c>
      <c r="AA130" s="178" t="s">
        <v>1513</v>
      </c>
      <c r="AB130" s="92" t="s">
        <v>1516</v>
      </c>
      <c r="AC130" s="88">
        <v>2896205</v>
      </c>
      <c r="AD130" s="187">
        <v>4352</v>
      </c>
      <c r="AE130" s="92" t="s">
        <v>583</v>
      </c>
      <c r="AF130" s="168" t="s">
        <v>330</v>
      </c>
      <c r="AG130" s="168" t="s">
        <v>413</v>
      </c>
      <c r="AH130" s="49" t="s">
        <v>270</v>
      </c>
    </row>
    <row r="131" spans="1:34" ht="63.75" customHeight="1">
      <c r="A131" s="177" t="s">
        <v>268</v>
      </c>
      <c r="B131" s="11" t="s">
        <v>1182</v>
      </c>
      <c r="C131" s="168" t="s">
        <v>228</v>
      </c>
      <c r="D131" s="168" t="s">
        <v>163</v>
      </c>
      <c r="E131" s="168" t="s">
        <v>82</v>
      </c>
      <c r="F131" s="177" t="s">
        <v>1432</v>
      </c>
      <c r="G131" s="177"/>
      <c r="H131" s="339" t="s">
        <v>2388</v>
      </c>
      <c r="I131" s="16"/>
      <c r="J131" s="178" t="s">
        <v>0</v>
      </c>
      <c r="K131" s="178"/>
      <c r="L131" s="178" t="s">
        <v>275</v>
      </c>
      <c r="M131" s="360"/>
      <c r="N131" s="361"/>
      <c r="O131" s="362"/>
      <c r="P131" s="351"/>
      <c r="Q131" s="168">
        <v>18</v>
      </c>
      <c r="R131" s="168" t="str">
        <f t="shared" si="29"/>
        <v>SC07846</v>
      </c>
      <c r="S131" s="168" t="str">
        <f t="shared" si="29"/>
        <v>DO07068</v>
      </c>
      <c r="T131" s="227" t="s">
        <v>2253</v>
      </c>
      <c r="U131" s="168" t="s">
        <v>294</v>
      </c>
      <c r="V131" s="320">
        <v>2690</v>
      </c>
      <c r="W131" s="89" t="s">
        <v>581</v>
      </c>
      <c r="X131" s="178" t="s">
        <v>1517</v>
      </c>
      <c r="Y131" s="92" t="s">
        <v>1519</v>
      </c>
      <c r="Z131" s="88">
        <v>2896206</v>
      </c>
      <c r="AA131" s="178" t="s">
        <v>1518</v>
      </c>
      <c r="AB131" s="92" t="s">
        <v>1520</v>
      </c>
      <c r="AC131" s="88">
        <v>2896207</v>
      </c>
      <c r="AD131" s="187">
        <v>4352</v>
      </c>
      <c r="AE131" s="92" t="s">
        <v>583</v>
      </c>
      <c r="AF131" s="168" t="s">
        <v>330</v>
      </c>
      <c r="AG131" s="168" t="s">
        <v>413</v>
      </c>
      <c r="AH131" s="49" t="s">
        <v>270</v>
      </c>
    </row>
    <row r="132" spans="1:34" ht="51" customHeight="1">
      <c r="A132" s="11" t="s">
        <v>268</v>
      </c>
      <c r="B132" s="11" t="s">
        <v>1182</v>
      </c>
      <c r="C132" s="6" t="s">
        <v>229</v>
      </c>
      <c r="D132" s="6" t="s">
        <v>164</v>
      </c>
      <c r="E132" s="6" t="s">
        <v>83</v>
      </c>
      <c r="F132" s="16" t="s">
        <v>1433</v>
      </c>
      <c r="G132" s="16"/>
      <c r="H132" s="338" t="s">
        <v>2389</v>
      </c>
      <c r="I132" s="16"/>
      <c r="J132" s="16" t="s">
        <v>0</v>
      </c>
      <c r="K132" s="16"/>
      <c r="L132" s="16" t="s">
        <v>275</v>
      </c>
      <c r="M132" s="360"/>
      <c r="N132" s="361"/>
      <c r="O132" s="362"/>
      <c r="P132" s="351"/>
      <c r="Q132" s="6">
        <v>27</v>
      </c>
      <c r="R132" s="6" t="str">
        <f t="shared" si="29"/>
        <v>SC07847</v>
      </c>
      <c r="S132" s="6" t="str">
        <f t="shared" si="29"/>
        <v>DO07069</v>
      </c>
      <c r="T132" s="227" t="s">
        <v>2254</v>
      </c>
      <c r="U132" s="168" t="s">
        <v>294</v>
      </c>
      <c r="V132" s="320">
        <v>2690</v>
      </c>
      <c r="W132" s="89" t="s">
        <v>581</v>
      </c>
      <c r="X132" s="178" t="s">
        <v>1521</v>
      </c>
      <c r="Y132" s="92" t="s">
        <v>1523</v>
      </c>
      <c r="Z132" s="88">
        <v>2896208</v>
      </c>
      <c r="AA132" s="178" t="s">
        <v>1522</v>
      </c>
      <c r="AB132" s="92" t="s">
        <v>1524</v>
      </c>
      <c r="AC132" s="88">
        <v>2896209</v>
      </c>
      <c r="AD132" s="187">
        <v>4352</v>
      </c>
      <c r="AE132" s="92" t="s">
        <v>583</v>
      </c>
      <c r="AF132" s="168" t="s">
        <v>330</v>
      </c>
      <c r="AG132" s="168" t="s">
        <v>413</v>
      </c>
      <c r="AH132" s="49" t="s">
        <v>270</v>
      </c>
    </row>
    <row r="133" spans="1:34" ht="63.75" customHeight="1">
      <c r="A133" s="11" t="s">
        <v>268</v>
      </c>
      <c r="B133" s="11" t="s">
        <v>1182</v>
      </c>
      <c r="C133" s="6" t="s">
        <v>230</v>
      </c>
      <c r="D133" s="6" t="s">
        <v>165</v>
      </c>
      <c r="E133" s="6" t="s">
        <v>84</v>
      </c>
      <c r="F133" s="11" t="s">
        <v>1434</v>
      </c>
      <c r="G133" s="11"/>
      <c r="H133" s="338" t="s">
        <v>2390</v>
      </c>
      <c r="I133" s="16"/>
      <c r="J133" s="16" t="s">
        <v>0</v>
      </c>
      <c r="K133" s="16"/>
      <c r="L133" s="16" t="s">
        <v>275</v>
      </c>
      <c r="M133" s="360"/>
      <c r="N133" s="361"/>
      <c r="O133" s="362"/>
      <c r="P133" s="351"/>
      <c r="Q133" s="6">
        <v>15</v>
      </c>
      <c r="R133" s="6" t="str">
        <f t="shared" si="29"/>
        <v>SC07848</v>
      </c>
      <c r="S133" s="6" t="str">
        <f t="shared" si="29"/>
        <v>DO07070</v>
      </c>
      <c r="T133" s="227" t="s">
        <v>2255</v>
      </c>
      <c r="U133" s="168" t="s">
        <v>294</v>
      </c>
      <c r="V133" s="320">
        <v>2690</v>
      </c>
      <c r="W133" s="89" t="s">
        <v>581</v>
      </c>
      <c r="X133" s="178" t="s">
        <v>1525</v>
      </c>
      <c r="Y133" s="92" t="s">
        <v>1527</v>
      </c>
      <c r="Z133" s="88">
        <v>2896210</v>
      </c>
      <c r="AA133" s="178" t="s">
        <v>1526</v>
      </c>
      <c r="AB133" s="92" t="s">
        <v>1528</v>
      </c>
      <c r="AC133" s="88">
        <v>2896211</v>
      </c>
      <c r="AD133" s="187">
        <v>4352</v>
      </c>
      <c r="AE133" s="92" t="s">
        <v>583</v>
      </c>
      <c r="AF133" s="168" t="s">
        <v>330</v>
      </c>
      <c r="AG133" s="168" t="s">
        <v>413</v>
      </c>
      <c r="AH133" s="49" t="s">
        <v>270</v>
      </c>
    </row>
    <row r="134" spans="1:34" ht="63.75" customHeight="1">
      <c r="A134" s="11" t="s">
        <v>268</v>
      </c>
      <c r="B134" s="11" t="s">
        <v>1182</v>
      </c>
      <c r="C134" s="6" t="s">
        <v>231</v>
      </c>
      <c r="D134" s="6" t="s">
        <v>166</v>
      </c>
      <c r="E134" s="6" t="s">
        <v>85</v>
      </c>
      <c r="F134" s="11" t="s">
        <v>1435</v>
      </c>
      <c r="G134" s="11"/>
      <c r="H134" s="338" t="s">
        <v>2391</v>
      </c>
      <c r="I134" s="16"/>
      <c r="J134" s="16" t="s">
        <v>0</v>
      </c>
      <c r="K134" s="16"/>
      <c r="L134" s="16" t="s">
        <v>275</v>
      </c>
      <c r="M134" s="360"/>
      <c r="N134" s="361"/>
      <c r="O134" s="362"/>
      <c r="P134" s="351"/>
      <c r="Q134" s="6">
        <v>12</v>
      </c>
      <c r="R134" s="6" t="str">
        <f t="shared" si="29"/>
        <v>SC07849</v>
      </c>
      <c r="S134" s="6" t="str">
        <f t="shared" si="29"/>
        <v>DO07071</v>
      </c>
      <c r="T134" s="227" t="s">
        <v>2256</v>
      </c>
      <c r="U134" s="168" t="s">
        <v>294</v>
      </c>
      <c r="V134" s="320">
        <v>2690</v>
      </c>
      <c r="W134" s="89" t="s">
        <v>581</v>
      </c>
      <c r="X134" s="178" t="s">
        <v>1529</v>
      </c>
      <c r="Y134" s="92" t="s">
        <v>1531</v>
      </c>
      <c r="Z134" s="88">
        <v>2896212</v>
      </c>
      <c r="AA134" s="178" t="s">
        <v>1530</v>
      </c>
      <c r="AB134" s="92" t="s">
        <v>1532</v>
      </c>
      <c r="AC134" s="88">
        <v>2896213</v>
      </c>
      <c r="AD134" s="187">
        <v>4352</v>
      </c>
      <c r="AE134" s="92" t="s">
        <v>583</v>
      </c>
      <c r="AF134" s="168" t="s">
        <v>330</v>
      </c>
      <c r="AG134" s="168" t="s">
        <v>413</v>
      </c>
      <c r="AH134" s="49" t="s">
        <v>270</v>
      </c>
    </row>
    <row r="135" spans="1:34" ht="51" customHeight="1">
      <c r="A135" s="11" t="s">
        <v>268</v>
      </c>
      <c r="B135" s="11" t="s">
        <v>1182</v>
      </c>
      <c r="C135" s="6" t="s">
        <v>232</v>
      </c>
      <c r="D135" s="6" t="s">
        <v>167</v>
      </c>
      <c r="E135" s="6" t="s">
        <v>86</v>
      </c>
      <c r="F135" s="11" t="s">
        <v>1436</v>
      </c>
      <c r="G135" s="11"/>
      <c r="H135" s="338" t="s">
        <v>2392</v>
      </c>
      <c r="I135" s="16"/>
      <c r="J135" s="16" t="s">
        <v>0</v>
      </c>
      <c r="K135" s="16"/>
      <c r="L135" s="16" t="s">
        <v>275</v>
      </c>
      <c r="M135" s="360"/>
      <c r="N135" s="361"/>
      <c r="O135" s="362"/>
      <c r="P135" s="351"/>
      <c r="Q135" s="6">
        <v>13</v>
      </c>
      <c r="R135" s="6" t="str">
        <f t="shared" si="29"/>
        <v>SC07850</v>
      </c>
      <c r="S135" s="6" t="str">
        <f t="shared" si="29"/>
        <v>DO07072</v>
      </c>
      <c r="T135" s="227" t="s">
        <v>2257</v>
      </c>
      <c r="U135" s="168" t="s">
        <v>294</v>
      </c>
      <c r="V135" s="320">
        <v>2690</v>
      </c>
      <c r="W135" s="89" t="s">
        <v>581</v>
      </c>
      <c r="X135" s="178" t="s">
        <v>1533</v>
      </c>
      <c r="Y135" s="92" t="s">
        <v>1535</v>
      </c>
      <c r="Z135" s="88">
        <v>2896214</v>
      </c>
      <c r="AA135" s="178" t="s">
        <v>1534</v>
      </c>
      <c r="AB135" s="92" t="s">
        <v>1536</v>
      </c>
      <c r="AC135" s="88">
        <v>2896215</v>
      </c>
      <c r="AD135" s="187">
        <v>4352</v>
      </c>
      <c r="AE135" s="92" t="s">
        <v>583</v>
      </c>
      <c r="AF135" s="168" t="s">
        <v>330</v>
      </c>
      <c r="AG135" s="168" t="s">
        <v>413</v>
      </c>
      <c r="AH135" s="49" t="s">
        <v>270</v>
      </c>
    </row>
    <row r="136" spans="1:34" ht="51" customHeight="1">
      <c r="A136" s="11" t="s">
        <v>268</v>
      </c>
      <c r="B136" s="11" t="s">
        <v>1182</v>
      </c>
      <c r="C136" s="6" t="s">
        <v>233</v>
      </c>
      <c r="D136" s="6" t="s">
        <v>168</v>
      </c>
      <c r="E136" s="6" t="s">
        <v>87</v>
      </c>
      <c r="F136" s="11" t="s">
        <v>1437</v>
      </c>
      <c r="G136" s="11"/>
      <c r="H136" s="338" t="s">
        <v>2393</v>
      </c>
      <c r="I136" s="16"/>
      <c r="J136" s="16" t="s">
        <v>0</v>
      </c>
      <c r="K136" s="16"/>
      <c r="L136" s="16" t="s">
        <v>275</v>
      </c>
      <c r="M136" s="360"/>
      <c r="N136" s="361"/>
      <c r="O136" s="362"/>
      <c r="P136" s="351"/>
      <c r="Q136" s="6">
        <v>20</v>
      </c>
      <c r="R136" s="6" t="str">
        <f t="shared" si="29"/>
        <v>SC07851</v>
      </c>
      <c r="S136" s="6" t="str">
        <f t="shared" si="29"/>
        <v>DO07073</v>
      </c>
      <c r="T136" s="227" t="s">
        <v>2258</v>
      </c>
      <c r="U136" s="168" t="s">
        <v>294</v>
      </c>
      <c r="V136" s="320">
        <v>2690</v>
      </c>
      <c r="W136" s="89" t="s">
        <v>581</v>
      </c>
      <c r="X136" s="178" t="s">
        <v>1537</v>
      </c>
      <c r="Y136" s="92" t="s">
        <v>1539</v>
      </c>
      <c r="Z136" s="88">
        <v>2896216</v>
      </c>
      <c r="AA136" s="178" t="s">
        <v>1538</v>
      </c>
      <c r="AB136" s="92" t="s">
        <v>1540</v>
      </c>
      <c r="AC136" s="88">
        <v>2896217</v>
      </c>
      <c r="AD136" s="187">
        <v>4352</v>
      </c>
      <c r="AE136" s="92" t="s">
        <v>583</v>
      </c>
      <c r="AF136" s="168" t="s">
        <v>330</v>
      </c>
      <c r="AG136" s="168" t="s">
        <v>413</v>
      </c>
      <c r="AH136" s="49" t="s">
        <v>270</v>
      </c>
    </row>
    <row r="137" spans="1:34" ht="51" customHeight="1">
      <c r="A137" s="177" t="s">
        <v>268</v>
      </c>
      <c r="B137" s="11" t="s">
        <v>1182</v>
      </c>
      <c r="C137" s="168" t="s">
        <v>234</v>
      </c>
      <c r="D137" s="168" t="s">
        <v>169</v>
      </c>
      <c r="E137" s="168" t="s">
        <v>88</v>
      </c>
      <c r="F137" s="11" t="s">
        <v>1438</v>
      </c>
      <c r="G137" s="177"/>
      <c r="H137" s="339" t="s">
        <v>2394</v>
      </c>
      <c r="I137" s="16"/>
      <c r="J137" s="178" t="s">
        <v>0</v>
      </c>
      <c r="K137" s="178"/>
      <c r="L137" s="178" t="s">
        <v>275</v>
      </c>
      <c r="M137" s="360"/>
      <c r="N137" s="361"/>
      <c r="O137" s="362"/>
      <c r="P137" s="351"/>
      <c r="Q137" s="168">
        <v>22</v>
      </c>
      <c r="R137" s="168" t="str">
        <f t="shared" si="29"/>
        <v>SC07852</v>
      </c>
      <c r="S137" s="168" t="str">
        <f t="shared" si="29"/>
        <v>DO07074</v>
      </c>
      <c r="T137" s="227" t="s">
        <v>2259</v>
      </c>
      <c r="U137" s="168" t="s">
        <v>294</v>
      </c>
      <c r="V137" s="320">
        <v>2690</v>
      </c>
      <c r="W137" s="89" t="s">
        <v>581</v>
      </c>
      <c r="X137" s="178" t="s">
        <v>1541</v>
      </c>
      <c r="Y137" s="92" t="s">
        <v>1543</v>
      </c>
      <c r="Z137" s="88">
        <v>2896218</v>
      </c>
      <c r="AA137" s="178" t="s">
        <v>1542</v>
      </c>
      <c r="AB137" s="92" t="s">
        <v>1544</v>
      </c>
      <c r="AC137" s="88">
        <v>2896219</v>
      </c>
      <c r="AD137" s="187">
        <v>4352</v>
      </c>
      <c r="AE137" s="92" t="s">
        <v>583</v>
      </c>
      <c r="AF137" s="168" t="s">
        <v>330</v>
      </c>
      <c r="AG137" s="168" t="s">
        <v>413</v>
      </c>
      <c r="AH137" s="49" t="s">
        <v>270</v>
      </c>
    </row>
    <row r="138" spans="1:34" ht="51" customHeight="1">
      <c r="A138" s="11" t="s">
        <v>268</v>
      </c>
      <c r="B138" s="11" t="s">
        <v>1182</v>
      </c>
      <c r="C138" s="6" t="s">
        <v>235</v>
      </c>
      <c r="D138" s="6" t="s">
        <v>170</v>
      </c>
      <c r="E138" s="6" t="s">
        <v>89</v>
      </c>
      <c r="F138" s="11" t="s">
        <v>1439</v>
      </c>
      <c r="G138" s="11"/>
      <c r="H138" s="338" t="s">
        <v>2395</v>
      </c>
      <c r="I138" s="16"/>
      <c r="J138" s="16" t="s">
        <v>0</v>
      </c>
      <c r="K138" s="16"/>
      <c r="L138" s="16" t="s">
        <v>275</v>
      </c>
      <c r="M138" s="360"/>
      <c r="N138" s="361"/>
      <c r="O138" s="362"/>
      <c r="P138" s="351"/>
      <c r="Q138" s="6">
        <v>25</v>
      </c>
      <c r="R138" s="6" t="str">
        <f t="shared" si="29"/>
        <v>SC07853</v>
      </c>
      <c r="S138" s="6" t="str">
        <f t="shared" si="29"/>
        <v>DO07075</v>
      </c>
      <c r="T138" s="227" t="s">
        <v>2260</v>
      </c>
      <c r="U138" s="168" t="s">
        <v>294</v>
      </c>
      <c r="V138" s="320">
        <v>2690</v>
      </c>
      <c r="W138" s="89" t="s">
        <v>581</v>
      </c>
      <c r="X138" s="178" t="s">
        <v>1545</v>
      </c>
      <c r="Y138" s="92" t="s">
        <v>1547</v>
      </c>
      <c r="Z138" s="88">
        <v>2896220</v>
      </c>
      <c r="AA138" s="178" t="s">
        <v>1546</v>
      </c>
      <c r="AB138" s="92" t="s">
        <v>1548</v>
      </c>
      <c r="AC138" s="88">
        <v>2896221</v>
      </c>
      <c r="AD138" s="187">
        <v>4352</v>
      </c>
      <c r="AE138" s="92" t="s">
        <v>583</v>
      </c>
      <c r="AF138" s="168" t="s">
        <v>330</v>
      </c>
      <c r="AG138" s="168" t="s">
        <v>413</v>
      </c>
      <c r="AH138" s="49" t="s">
        <v>270</v>
      </c>
    </row>
    <row r="139" spans="1:34" ht="51" customHeight="1">
      <c r="A139" s="11" t="s">
        <v>268</v>
      </c>
      <c r="B139" s="11" t="s">
        <v>1374</v>
      </c>
      <c r="C139" s="6" t="s">
        <v>236</v>
      </c>
      <c r="D139" s="6" t="s">
        <v>171</v>
      </c>
      <c r="E139" s="196" t="s">
        <v>90</v>
      </c>
      <c r="F139" s="11" t="s">
        <v>1440</v>
      </c>
      <c r="G139" s="11"/>
      <c r="H139" s="338" t="s">
        <v>2396</v>
      </c>
      <c r="I139" s="16"/>
      <c r="J139" s="16" t="s">
        <v>0</v>
      </c>
      <c r="K139" s="16"/>
      <c r="L139" s="16" t="s">
        <v>275</v>
      </c>
      <c r="M139" s="360"/>
      <c r="N139" s="361"/>
      <c r="O139" s="362"/>
      <c r="P139" s="351"/>
      <c r="Q139" s="6">
        <v>24</v>
      </c>
      <c r="R139" s="6" t="str">
        <f t="shared" si="29"/>
        <v>SC07854</v>
      </c>
      <c r="S139" s="6" t="str">
        <f t="shared" si="29"/>
        <v>DO07076</v>
      </c>
      <c r="T139" s="227" t="s">
        <v>2261</v>
      </c>
      <c r="U139" s="168" t="s">
        <v>294</v>
      </c>
      <c r="V139" s="320">
        <v>2690</v>
      </c>
      <c r="W139" s="89">
        <v>4954429</v>
      </c>
      <c r="X139" s="178" t="s">
        <v>1549</v>
      </c>
      <c r="Y139" s="92" t="s">
        <v>1551</v>
      </c>
      <c r="Z139" s="88">
        <v>2896222</v>
      </c>
      <c r="AA139" s="178" t="s">
        <v>1550</v>
      </c>
      <c r="AB139" s="92" t="s">
        <v>1552</v>
      </c>
      <c r="AC139" s="88">
        <v>2896223</v>
      </c>
      <c r="AD139" s="187">
        <v>4352</v>
      </c>
      <c r="AE139" s="92" t="s">
        <v>583</v>
      </c>
      <c r="AF139" s="168" t="s">
        <v>330</v>
      </c>
      <c r="AG139" s="168" t="s">
        <v>413</v>
      </c>
      <c r="AH139" s="49" t="s">
        <v>270</v>
      </c>
    </row>
    <row r="140" spans="1:34" ht="51" customHeight="1">
      <c r="A140" s="11" t="s">
        <v>268</v>
      </c>
      <c r="B140" s="11" t="s">
        <v>1374</v>
      </c>
      <c r="C140" s="6" t="s">
        <v>237</v>
      </c>
      <c r="D140" s="6" t="s">
        <v>172</v>
      </c>
      <c r="E140" s="6" t="s">
        <v>91</v>
      </c>
      <c r="F140" s="11" t="s">
        <v>1441</v>
      </c>
      <c r="G140" s="11"/>
      <c r="H140" s="338" t="s">
        <v>2397</v>
      </c>
      <c r="I140" s="16"/>
      <c r="J140" s="16" t="s">
        <v>0</v>
      </c>
      <c r="K140" s="16"/>
      <c r="L140" s="16" t="s">
        <v>275</v>
      </c>
      <c r="M140" s="360"/>
      <c r="N140" s="361"/>
      <c r="O140" s="362"/>
      <c r="P140" s="351"/>
      <c r="Q140" s="6">
        <v>28</v>
      </c>
      <c r="R140" s="6" t="str">
        <f t="shared" si="29"/>
        <v>SC07855</v>
      </c>
      <c r="S140" s="6" t="str">
        <f t="shared" si="29"/>
        <v>DO07077</v>
      </c>
      <c r="T140" s="227" t="s">
        <v>2262</v>
      </c>
      <c r="U140" s="168" t="s">
        <v>294</v>
      </c>
      <c r="V140" s="320">
        <v>2690</v>
      </c>
      <c r="W140" s="89">
        <v>4954429</v>
      </c>
      <c r="X140" s="178" t="s">
        <v>1553</v>
      </c>
      <c r="Y140" s="92" t="s">
        <v>1555</v>
      </c>
      <c r="Z140" s="88">
        <v>2896224</v>
      </c>
      <c r="AA140" s="178" t="s">
        <v>1554</v>
      </c>
      <c r="AB140" s="92" t="s">
        <v>1556</v>
      </c>
      <c r="AC140" s="88">
        <v>2896225</v>
      </c>
      <c r="AD140" s="187">
        <v>4352</v>
      </c>
      <c r="AE140" s="92" t="s">
        <v>583</v>
      </c>
      <c r="AF140" s="168" t="s">
        <v>330</v>
      </c>
      <c r="AG140" s="168" t="s">
        <v>413</v>
      </c>
      <c r="AH140" s="49" t="s">
        <v>270</v>
      </c>
    </row>
    <row r="141" spans="1:34" ht="51" customHeight="1">
      <c r="A141" s="11" t="s">
        <v>268</v>
      </c>
      <c r="B141" s="11" t="s">
        <v>1374</v>
      </c>
      <c r="C141" s="6" t="s">
        <v>238</v>
      </c>
      <c r="D141" s="6" t="s">
        <v>173</v>
      </c>
      <c r="E141" s="6" t="s">
        <v>92</v>
      </c>
      <c r="F141" s="11" t="s">
        <v>1442</v>
      </c>
      <c r="G141" s="11"/>
      <c r="H141" s="338" t="s">
        <v>2399</v>
      </c>
      <c r="I141" s="16"/>
      <c r="J141" s="16" t="s">
        <v>0</v>
      </c>
      <c r="K141" s="16"/>
      <c r="L141" s="16" t="s">
        <v>275</v>
      </c>
      <c r="M141" s="360"/>
      <c r="N141" s="361"/>
      <c r="O141" s="362"/>
      <c r="P141" s="351"/>
      <c r="Q141" s="6">
        <v>19</v>
      </c>
      <c r="R141" s="6" t="str">
        <f t="shared" si="29"/>
        <v>SC07856</v>
      </c>
      <c r="S141" s="6" t="str">
        <f t="shared" si="29"/>
        <v>DO07078</v>
      </c>
      <c r="T141" s="227" t="s">
        <v>2263</v>
      </c>
      <c r="U141" s="168" t="s">
        <v>294</v>
      </c>
      <c r="V141" s="320">
        <v>2690</v>
      </c>
      <c r="W141" s="89">
        <v>4954429</v>
      </c>
      <c r="X141" s="178" t="s">
        <v>1557</v>
      </c>
      <c r="Y141" s="92" t="s">
        <v>1559</v>
      </c>
      <c r="Z141" s="88">
        <v>2896226</v>
      </c>
      <c r="AA141" s="178" t="s">
        <v>1558</v>
      </c>
      <c r="AB141" s="92" t="s">
        <v>1560</v>
      </c>
      <c r="AC141" s="88">
        <v>2896227</v>
      </c>
      <c r="AD141" s="187">
        <v>4352</v>
      </c>
      <c r="AE141" s="92" t="s">
        <v>583</v>
      </c>
      <c r="AF141" s="168" t="s">
        <v>330</v>
      </c>
      <c r="AG141" s="168" t="s">
        <v>413</v>
      </c>
      <c r="AH141" s="49" t="s">
        <v>270</v>
      </c>
    </row>
    <row r="142" spans="1:34" ht="38.25" customHeight="1">
      <c r="A142" s="11" t="s">
        <v>268</v>
      </c>
      <c r="B142" s="11" t="s">
        <v>1374</v>
      </c>
      <c r="C142" s="6" t="s">
        <v>239</v>
      </c>
      <c r="D142" s="6" t="s">
        <v>174</v>
      </c>
      <c r="E142" s="6" t="s">
        <v>93</v>
      </c>
      <c r="F142" s="11" t="s">
        <v>1443</v>
      </c>
      <c r="G142" s="11"/>
      <c r="H142" s="338" t="s">
        <v>2398</v>
      </c>
      <c r="I142" s="16"/>
      <c r="J142" s="16" t="s">
        <v>0</v>
      </c>
      <c r="K142" s="16"/>
      <c r="L142" s="16" t="s">
        <v>275</v>
      </c>
      <c r="M142" s="360"/>
      <c r="N142" s="361"/>
      <c r="O142" s="362"/>
      <c r="P142" s="351"/>
      <c r="Q142" s="6">
        <v>26</v>
      </c>
      <c r="R142" s="6" t="str">
        <f t="shared" si="29"/>
        <v>SC07857</v>
      </c>
      <c r="S142" s="6" t="str">
        <f t="shared" si="29"/>
        <v>DO07079</v>
      </c>
      <c r="T142" s="227" t="s">
        <v>2264</v>
      </c>
      <c r="U142" s="168" t="s">
        <v>294</v>
      </c>
      <c r="V142" s="320">
        <v>2690</v>
      </c>
      <c r="W142" s="89">
        <v>4954429</v>
      </c>
      <c r="X142" s="178" t="s">
        <v>1561</v>
      </c>
      <c r="Y142" s="92" t="s">
        <v>1563</v>
      </c>
      <c r="Z142" s="88">
        <v>2896228</v>
      </c>
      <c r="AA142" s="178" t="s">
        <v>1562</v>
      </c>
      <c r="AB142" s="92" t="s">
        <v>1564</v>
      </c>
      <c r="AC142" s="88">
        <v>2896229</v>
      </c>
      <c r="AD142" s="187">
        <v>4352</v>
      </c>
      <c r="AE142" s="92" t="s">
        <v>583</v>
      </c>
      <c r="AF142" s="168" t="s">
        <v>330</v>
      </c>
      <c r="AG142" s="168" t="s">
        <v>413</v>
      </c>
      <c r="AH142" s="49" t="s">
        <v>270</v>
      </c>
    </row>
    <row r="143" spans="1:34" ht="63.75" customHeight="1">
      <c r="A143" s="11" t="s">
        <v>268</v>
      </c>
      <c r="B143" s="16" t="s">
        <v>1182</v>
      </c>
      <c r="C143" s="6" t="s">
        <v>119</v>
      </c>
      <c r="D143" s="17" t="s">
        <v>175</v>
      </c>
      <c r="E143" s="6" t="s">
        <v>136</v>
      </c>
      <c r="F143" s="11" t="s">
        <v>1180</v>
      </c>
      <c r="G143" s="11"/>
      <c r="H143" s="340" t="s">
        <v>2405</v>
      </c>
      <c r="I143" s="16"/>
      <c r="J143" s="16" t="s">
        <v>103</v>
      </c>
      <c r="K143" s="16"/>
      <c r="L143" s="16" t="s">
        <v>277</v>
      </c>
      <c r="M143" s="360" t="s">
        <v>100</v>
      </c>
      <c r="N143" s="361" t="s">
        <v>72</v>
      </c>
      <c r="O143" s="362" t="s">
        <v>71</v>
      </c>
      <c r="P143" s="351" t="s">
        <v>71</v>
      </c>
      <c r="Q143" s="6">
        <v>21</v>
      </c>
      <c r="R143" s="6" t="str">
        <f t="shared" si="29"/>
        <v>SC07781</v>
      </c>
      <c r="S143" s="6" t="str">
        <f t="shared" si="29"/>
        <v>DO07062</v>
      </c>
      <c r="T143" s="227" t="s">
        <v>2216</v>
      </c>
      <c r="U143" s="6">
        <v>2896120</v>
      </c>
      <c r="V143" s="320">
        <v>2652</v>
      </c>
      <c r="W143" s="89" t="s">
        <v>581</v>
      </c>
      <c r="X143" s="177" t="str">
        <f t="shared" ref="X143:X159" si="30">LEFT(F143,7)</f>
        <v>PJ07740</v>
      </c>
      <c r="Y143" s="92" t="s">
        <v>2373</v>
      </c>
      <c r="Z143" s="88">
        <v>2896133</v>
      </c>
      <c r="AA143" s="178" t="str">
        <f t="shared" ref="AA143:AA159" si="31">IF(AG143="VEE", RIGHT(F143,7),"n/a")</f>
        <v>PJ07741</v>
      </c>
      <c r="AB143" s="92" t="s">
        <v>1853</v>
      </c>
      <c r="AC143" s="88">
        <v>2896134</v>
      </c>
      <c r="AD143" s="187">
        <v>4225</v>
      </c>
      <c r="AE143" s="92" t="s">
        <v>583</v>
      </c>
      <c r="AF143" s="168" t="s">
        <v>330</v>
      </c>
      <c r="AG143" s="168" t="s">
        <v>413</v>
      </c>
      <c r="AH143" s="49" t="s">
        <v>270</v>
      </c>
    </row>
    <row r="144" spans="1:34" ht="63.75" customHeight="1">
      <c r="A144" s="11" t="s">
        <v>268</v>
      </c>
      <c r="B144" s="11" t="s">
        <v>1182</v>
      </c>
      <c r="C144" s="6" t="s">
        <v>120</v>
      </c>
      <c r="D144" s="17" t="s">
        <v>176</v>
      </c>
      <c r="E144" s="6" t="s">
        <v>137</v>
      </c>
      <c r="F144" s="11" t="s">
        <v>1603</v>
      </c>
      <c r="G144" s="11"/>
      <c r="H144" s="340" t="s">
        <v>2406</v>
      </c>
      <c r="I144" s="16"/>
      <c r="J144" s="16" t="s">
        <v>103</v>
      </c>
      <c r="K144" s="16"/>
      <c r="L144" s="16" t="s">
        <v>277</v>
      </c>
      <c r="M144" s="360"/>
      <c r="N144" s="361"/>
      <c r="O144" s="362"/>
      <c r="P144" s="351"/>
      <c r="Q144" s="6">
        <v>23</v>
      </c>
      <c r="R144" s="6" t="str">
        <f t="shared" si="29"/>
        <v>SC07782</v>
      </c>
      <c r="S144" s="6" t="str">
        <f t="shared" si="29"/>
        <v>DO07030</v>
      </c>
      <c r="T144" s="227" t="s">
        <v>2218</v>
      </c>
      <c r="U144" s="6">
        <v>2896121</v>
      </c>
      <c r="V144" s="320">
        <v>2652</v>
      </c>
      <c r="W144" s="89" t="s">
        <v>581</v>
      </c>
      <c r="X144" s="177" t="str">
        <f t="shared" si="30"/>
        <v>PJ07801</v>
      </c>
      <c r="Y144" s="92" t="s">
        <v>2376</v>
      </c>
      <c r="Z144" s="88">
        <v>2896145</v>
      </c>
      <c r="AA144" s="178" t="str">
        <f t="shared" si="31"/>
        <v>PJ07802</v>
      </c>
      <c r="AB144" s="92" t="s">
        <v>1884</v>
      </c>
      <c r="AC144" s="88">
        <v>2896146</v>
      </c>
      <c r="AD144" s="187">
        <v>4225</v>
      </c>
      <c r="AE144" s="92" t="s">
        <v>583</v>
      </c>
      <c r="AF144" s="168" t="s">
        <v>330</v>
      </c>
      <c r="AG144" s="168" t="s">
        <v>413</v>
      </c>
      <c r="AH144" s="49" t="s">
        <v>270</v>
      </c>
    </row>
    <row r="145" spans="1:253" ht="38.25" customHeight="1">
      <c r="A145" s="11" t="s">
        <v>268</v>
      </c>
      <c r="B145" s="11" t="s">
        <v>1182</v>
      </c>
      <c r="C145" s="6" t="s">
        <v>121</v>
      </c>
      <c r="D145" s="17" t="s">
        <v>177</v>
      </c>
      <c r="E145" s="6" t="s">
        <v>138</v>
      </c>
      <c r="F145" s="11" t="s">
        <v>1604</v>
      </c>
      <c r="G145" s="11"/>
      <c r="H145" s="340" t="s">
        <v>2403</v>
      </c>
      <c r="I145" s="16"/>
      <c r="J145" s="16" t="s">
        <v>103</v>
      </c>
      <c r="K145" s="16"/>
      <c r="L145" s="16" t="s">
        <v>277</v>
      </c>
      <c r="M145" s="360"/>
      <c r="N145" s="361"/>
      <c r="O145" s="362"/>
      <c r="P145" s="351"/>
      <c r="Q145" s="6">
        <v>17</v>
      </c>
      <c r="R145" s="6" t="str">
        <f t="shared" si="29"/>
        <v>SC07785</v>
      </c>
      <c r="S145" s="6" t="str">
        <f t="shared" si="29"/>
        <v>DO07033</v>
      </c>
      <c r="T145" s="227" t="s">
        <v>2222</v>
      </c>
      <c r="U145" s="6">
        <v>2896122</v>
      </c>
      <c r="V145" s="320">
        <v>2652</v>
      </c>
      <c r="W145" s="89" t="s">
        <v>581</v>
      </c>
      <c r="X145" s="177" t="str">
        <f t="shared" si="30"/>
        <v>PJ07744</v>
      </c>
      <c r="Y145" s="92" t="s">
        <v>588</v>
      </c>
      <c r="Z145" s="88">
        <v>2896137</v>
      </c>
      <c r="AA145" s="178" t="str">
        <f t="shared" si="31"/>
        <v>PJ07745</v>
      </c>
      <c r="AB145" s="92" t="s">
        <v>589</v>
      </c>
      <c r="AC145" s="88">
        <v>2896138</v>
      </c>
      <c r="AD145" s="187">
        <v>4225</v>
      </c>
      <c r="AE145" s="92" t="s">
        <v>583</v>
      </c>
      <c r="AF145" s="168" t="s">
        <v>330</v>
      </c>
      <c r="AG145" s="168" t="s">
        <v>413</v>
      </c>
      <c r="AH145" s="49" t="s">
        <v>270</v>
      </c>
    </row>
    <row r="146" spans="1:253" ht="63.75" customHeight="1">
      <c r="A146" s="11" t="s">
        <v>268</v>
      </c>
      <c r="B146" s="11" t="s">
        <v>1182</v>
      </c>
      <c r="C146" s="6" t="s">
        <v>122</v>
      </c>
      <c r="D146" s="17" t="s">
        <v>178</v>
      </c>
      <c r="E146" s="6" t="s">
        <v>139</v>
      </c>
      <c r="F146" s="11" t="s">
        <v>1605</v>
      </c>
      <c r="G146" s="11"/>
      <c r="H146" s="340" t="s">
        <v>2402</v>
      </c>
      <c r="I146" s="16"/>
      <c r="J146" s="16" t="s">
        <v>103</v>
      </c>
      <c r="K146" s="16"/>
      <c r="L146" s="16" t="s">
        <v>277</v>
      </c>
      <c r="M146" s="360"/>
      <c r="N146" s="361"/>
      <c r="O146" s="362"/>
      <c r="P146" s="351"/>
      <c r="Q146" s="6">
        <v>16</v>
      </c>
      <c r="R146" s="6" t="str">
        <f t="shared" si="29"/>
        <v>SC07786</v>
      </c>
      <c r="S146" s="6" t="str">
        <f t="shared" si="29"/>
        <v>DO07034</v>
      </c>
      <c r="T146" s="227" t="s">
        <v>2224</v>
      </c>
      <c r="U146" s="6">
        <v>2896123</v>
      </c>
      <c r="V146" s="320">
        <v>2652</v>
      </c>
      <c r="W146" s="89" t="s">
        <v>581</v>
      </c>
      <c r="X146" s="177" t="str">
        <f t="shared" si="30"/>
        <v>PJ07746</v>
      </c>
      <c r="Y146" s="92" t="s">
        <v>2374</v>
      </c>
      <c r="Z146" s="88">
        <v>2896139</v>
      </c>
      <c r="AA146" s="178" t="str">
        <f t="shared" si="31"/>
        <v>PJ07747</v>
      </c>
      <c r="AB146" s="92" t="s">
        <v>590</v>
      </c>
      <c r="AC146" s="88">
        <v>2896140</v>
      </c>
      <c r="AD146" s="187">
        <v>4225</v>
      </c>
      <c r="AE146" s="92" t="s">
        <v>583</v>
      </c>
      <c r="AF146" s="168" t="s">
        <v>330</v>
      </c>
      <c r="AG146" s="168" t="s">
        <v>413</v>
      </c>
      <c r="AH146" s="49" t="s">
        <v>270</v>
      </c>
    </row>
    <row r="147" spans="1:253" ht="63.75" customHeight="1">
      <c r="A147" s="11" t="s">
        <v>268</v>
      </c>
      <c r="B147" s="11" t="s">
        <v>1182</v>
      </c>
      <c r="C147" s="6" t="s">
        <v>123</v>
      </c>
      <c r="D147" s="17" t="s">
        <v>179</v>
      </c>
      <c r="E147" s="6" t="s">
        <v>140</v>
      </c>
      <c r="F147" s="11" t="s">
        <v>1606</v>
      </c>
      <c r="G147" s="11"/>
      <c r="H147" s="340" t="s">
        <v>2400</v>
      </c>
      <c r="I147" s="16"/>
      <c r="J147" s="16" t="s">
        <v>103</v>
      </c>
      <c r="K147" s="16"/>
      <c r="L147" s="16" t="s">
        <v>277</v>
      </c>
      <c r="M147" s="360"/>
      <c r="N147" s="361"/>
      <c r="O147" s="362"/>
      <c r="P147" s="351"/>
      <c r="Q147" s="6">
        <v>14</v>
      </c>
      <c r="R147" s="6" t="str">
        <f t="shared" si="29"/>
        <v>SC07787</v>
      </c>
      <c r="S147" s="6" t="str">
        <f t="shared" si="29"/>
        <v>DO07035</v>
      </c>
      <c r="T147" s="227" t="s">
        <v>2226</v>
      </c>
      <c r="U147" s="6">
        <v>2896124</v>
      </c>
      <c r="V147" s="320">
        <v>2652</v>
      </c>
      <c r="W147" s="89" t="s">
        <v>581</v>
      </c>
      <c r="X147" s="177" t="str">
        <f t="shared" si="30"/>
        <v>PJ07807</v>
      </c>
      <c r="Y147" s="92" t="s">
        <v>2377</v>
      </c>
      <c r="Z147" s="88">
        <v>2896147</v>
      </c>
      <c r="AA147" s="178" t="str">
        <f t="shared" si="31"/>
        <v>PJ07808</v>
      </c>
      <c r="AB147" s="92" t="s">
        <v>591</v>
      </c>
      <c r="AC147" s="88">
        <v>2896148</v>
      </c>
      <c r="AD147" s="187">
        <v>4225</v>
      </c>
      <c r="AE147" s="92" t="s">
        <v>583</v>
      </c>
      <c r="AF147" s="168" t="s">
        <v>330</v>
      </c>
      <c r="AG147" s="168" t="s">
        <v>413</v>
      </c>
      <c r="AH147" s="49" t="s">
        <v>270</v>
      </c>
    </row>
    <row r="148" spans="1:253" ht="63.75" customHeight="1">
      <c r="A148" s="11" t="s">
        <v>268</v>
      </c>
      <c r="B148" s="11" t="s">
        <v>1182</v>
      </c>
      <c r="C148" s="6" t="s">
        <v>124</v>
      </c>
      <c r="D148" s="17" t="s">
        <v>180</v>
      </c>
      <c r="E148" s="6" t="s">
        <v>141</v>
      </c>
      <c r="F148" s="11" t="s">
        <v>1607</v>
      </c>
      <c r="G148" s="11"/>
      <c r="H148" s="340" t="s">
        <v>2404</v>
      </c>
      <c r="I148" s="16"/>
      <c r="J148" s="16" t="s">
        <v>103</v>
      </c>
      <c r="K148" s="16"/>
      <c r="L148" s="16" t="s">
        <v>277</v>
      </c>
      <c r="M148" s="360"/>
      <c r="N148" s="361"/>
      <c r="O148" s="362"/>
      <c r="P148" s="351"/>
      <c r="Q148" s="6">
        <v>18</v>
      </c>
      <c r="R148" s="6" t="str">
        <f t="shared" si="29"/>
        <v>SC07788</v>
      </c>
      <c r="S148" s="6" t="str">
        <f t="shared" si="29"/>
        <v>DO07036</v>
      </c>
      <c r="T148" s="227" t="s">
        <v>2228</v>
      </c>
      <c r="U148" s="6">
        <v>2896125</v>
      </c>
      <c r="V148" s="320">
        <v>2652</v>
      </c>
      <c r="W148" s="89" t="s">
        <v>581</v>
      </c>
      <c r="X148" s="177" t="str">
        <f t="shared" si="30"/>
        <v>PJ07809</v>
      </c>
      <c r="Y148" s="92" t="s">
        <v>2378</v>
      </c>
      <c r="Z148" s="88">
        <v>2896149</v>
      </c>
      <c r="AA148" s="178" t="str">
        <f t="shared" si="31"/>
        <v>PJ07810</v>
      </c>
      <c r="AB148" s="92" t="s">
        <v>592</v>
      </c>
      <c r="AC148" s="88">
        <v>2896150</v>
      </c>
      <c r="AD148" s="187">
        <v>4225</v>
      </c>
      <c r="AE148" s="92" t="s">
        <v>583</v>
      </c>
      <c r="AF148" s="168" t="s">
        <v>330</v>
      </c>
      <c r="AG148" s="168" t="s">
        <v>413</v>
      </c>
      <c r="AH148" s="49" t="s">
        <v>270</v>
      </c>
    </row>
    <row r="149" spans="1:253" ht="63.75" customHeight="1">
      <c r="A149" s="11" t="s">
        <v>268</v>
      </c>
      <c r="B149" s="11" t="s">
        <v>1182</v>
      </c>
      <c r="C149" s="6" t="s">
        <v>125</v>
      </c>
      <c r="D149" s="17" t="s">
        <v>181</v>
      </c>
      <c r="E149" s="6" t="s">
        <v>142</v>
      </c>
      <c r="F149" s="11" t="s">
        <v>1608</v>
      </c>
      <c r="G149" s="11"/>
      <c r="H149" s="338" t="s">
        <v>2389</v>
      </c>
      <c r="I149" s="16"/>
      <c r="J149" s="16" t="s">
        <v>103</v>
      </c>
      <c r="K149" s="16"/>
      <c r="L149" s="16" t="s">
        <v>277</v>
      </c>
      <c r="M149" s="360"/>
      <c r="N149" s="361"/>
      <c r="O149" s="362"/>
      <c r="P149" s="351"/>
      <c r="Q149" s="6">
        <v>27</v>
      </c>
      <c r="R149" s="6" t="str">
        <f t="shared" si="29"/>
        <v>SC07791</v>
      </c>
      <c r="S149" s="6" t="str">
        <f t="shared" si="29"/>
        <v>DO07038</v>
      </c>
      <c r="T149" s="227" t="s">
        <v>2034</v>
      </c>
      <c r="U149" s="6">
        <v>2896126</v>
      </c>
      <c r="V149" s="320">
        <v>2652</v>
      </c>
      <c r="W149" s="89" t="s">
        <v>581</v>
      </c>
      <c r="X149" s="177" t="str">
        <f t="shared" si="30"/>
        <v>PJ07742</v>
      </c>
      <c r="Y149" s="92" t="s">
        <v>1854</v>
      </c>
      <c r="Z149" s="88">
        <v>2896135</v>
      </c>
      <c r="AA149" s="178" t="str">
        <f t="shared" si="31"/>
        <v>PJ07743</v>
      </c>
      <c r="AB149" s="92" t="s">
        <v>1855</v>
      </c>
      <c r="AC149" s="88">
        <v>2896136</v>
      </c>
      <c r="AD149" s="187">
        <v>4225</v>
      </c>
      <c r="AE149" s="92" t="s">
        <v>583</v>
      </c>
      <c r="AF149" s="168" t="s">
        <v>330</v>
      </c>
      <c r="AG149" s="168" t="s">
        <v>413</v>
      </c>
      <c r="AH149" s="49" t="s">
        <v>270</v>
      </c>
    </row>
    <row r="150" spans="1:253" ht="63.75" customHeight="1">
      <c r="A150" s="11" t="s">
        <v>268</v>
      </c>
      <c r="B150" s="11" t="s">
        <v>1182</v>
      </c>
      <c r="C150" s="6" t="s">
        <v>126</v>
      </c>
      <c r="D150" s="17" t="s">
        <v>182</v>
      </c>
      <c r="E150" s="6" t="s">
        <v>143</v>
      </c>
      <c r="F150" s="11" t="s">
        <v>1609</v>
      </c>
      <c r="G150" s="11"/>
      <c r="H150" s="340" t="s">
        <v>2401</v>
      </c>
      <c r="I150" s="16"/>
      <c r="J150" s="16" t="s">
        <v>103</v>
      </c>
      <c r="K150" s="16"/>
      <c r="L150" s="16" t="s">
        <v>277</v>
      </c>
      <c r="M150" s="360"/>
      <c r="N150" s="361"/>
      <c r="O150" s="362"/>
      <c r="P150" s="351"/>
      <c r="Q150" s="6">
        <v>15</v>
      </c>
      <c r="R150" s="6" t="str">
        <f t="shared" si="29"/>
        <v>SC07793</v>
      </c>
      <c r="S150" s="6" t="str">
        <f t="shared" si="29"/>
        <v>DO07040</v>
      </c>
      <c r="T150" s="227" t="s">
        <v>2230</v>
      </c>
      <c r="U150" s="6">
        <v>2896127</v>
      </c>
      <c r="V150" s="320">
        <v>2652</v>
      </c>
      <c r="W150" s="89" t="s">
        <v>581</v>
      </c>
      <c r="X150" s="177" t="str">
        <f t="shared" si="30"/>
        <v>PJ07805</v>
      </c>
      <c r="Y150" s="92" t="s">
        <v>593</v>
      </c>
      <c r="Z150" s="88">
        <v>2896157</v>
      </c>
      <c r="AA150" s="178" t="str">
        <f t="shared" si="31"/>
        <v>PJ07806</v>
      </c>
      <c r="AB150" s="92" t="s">
        <v>594</v>
      </c>
      <c r="AC150" s="88">
        <v>2896158</v>
      </c>
      <c r="AD150" s="187">
        <v>4225</v>
      </c>
      <c r="AE150" s="92" t="s">
        <v>583</v>
      </c>
      <c r="AF150" s="168" t="s">
        <v>330</v>
      </c>
      <c r="AG150" s="168" t="s">
        <v>413</v>
      </c>
      <c r="AH150" s="49" t="s">
        <v>270</v>
      </c>
    </row>
    <row r="151" spans="1:253" ht="63.75" customHeight="1">
      <c r="A151" s="11" t="s">
        <v>268</v>
      </c>
      <c r="B151" s="11" t="s">
        <v>1182</v>
      </c>
      <c r="C151" s="6" t="s">
        <v>127</v>
      </c>
      <c r="D151" s="17" t="s">
        <v>183</v>
      </c>
      <c r="E151" s="6" t="s">
        <v>144</v>
      </c>
      <c r="F151" s="11" t="s">
        <v>1624</v>
      </c>
      <c r="G151" s="11"/>
      <c r="H151" s="338" t="s">
        <v>2391</v>
      </c>
      <c r="I151" s="16"/>
      <c r="J151" s="16" t="s">
        <v>103</v>
      </c>
      <c r="K151" s="16"/>
      <c r="L151" s="16" t="s">
        <v>277</v>
      </c>
      <c r="M151" s="360"/>
      <c r="N151" s="361"/>
      <c r="O151" s="362"/>
      <c r="P151" s="351"/>
      <c r="Q151" s="6">
        <v>12</v>
      </c>
      <c r="R151" s="6" t="str">
        <f t="shared" si="29"/>
        <v>SC07796</v>
      </c>
      <c r="S151" s="6" t="str">
        <f t="shared" si="29"/>
        <v>DO07043</v>
      </c>
      <c r="T151" s="227" t="s">
        <v>2036</v>
      </c>
      <c r="U151" s="6">
        <v>2896128</v>
      </c>
      <c r="V151" s="320">
        <v>2652</v>
      </c>
      <c r="W151" s="89" t="s">
        <v>581</v>
      </c>
      <c r="X151" s="177" t="str">
        <f t="shared" si="30"/>
        <v>PJ07750</v>
      </c>
      <c r="Y151" s="92" t="s">
        <v>1856</v>
      </c>
      <c r="Z151" s="88">
        <v>2896141</v>
      </c>
      <c r="AA151" s="178" t="str">
        <f t="shared" si="31"/>
        <v>PJ07751</v>
      </c>
      <c r="AB151" s="92" t="s">
        <v>1857</v>
      </c>
      <c r="AC151" s="88">
        <v>2896142</v>
      </c>
      <c r="AD151" s="187">
        <v>4225</v>
      </c>
      <c r="AE151" s="92" t="s">
        <v>583</v>
      </c>
      <c r="AF151" s="168" t="s">
        <v>330</v>
      </c>
      <c r="AG151" s="168" t="s">
        <v>413</v>
      </c>
      <c r="AH151" s="49" t="s">
        <v>270</v>
      </c>
    </row>
    <row r="152" spans="1:253" ht="38.25" customHeight="1">
      <c r="A152" s="11" t="s">
        <v>268</v>
      </c>
      <c r="B152" s="11" t="s">
        <v>1182</v>
      </c>
      <c r="C152" s="6" t="s">
        <v>128</v>
      </c>
      <c r="D152" s="17" t="s">
        <v>184</v>
      </c>
      <c r="E152" s="6" t="s">
        <v>145</v>
      </c>
      <c r="F152" s="11" t="s">
        <v>1610</v>
      </c>
      <c r="G152" s="11"/>
      <c r="H152" s="338" t="s">
        <v>2392</v>
      </c>
      <c r="I152" s="16"/>
      <c r="J152" s="16" t="s">
        <v>103</v>
      </c>
      <c r="K152" s="16"/>
      <c r="L152" s="16" t="s">
        <v>277</v>
      </c>
      <c r="M152" s="360"/>
      <c r="N152" s="361"/>
      <c r="O152" s="362"/>
      <c r="P152" s="351"/>
      <c r="Q152" s="6">
        <v>13</v>
      </c>
      <c r="R152" s="6" t="str">
        <f t="shared" si="29"/>
        <v>SC07812</v>
      </c>
      <c r="S152" s="6" t="str">
        <f t="shared" si="29"/>
        <v>DO07048</v>
      </c>
      <c r="T152" s="227" t="s">
        <v>1581</v>
      </c>
      <c r="U152" s="6">
        <v>2896129</v>
      </c>
      <c r="V152" s="320">
        <v>2652</v>
      </c>
      <c r="W152" s="89" t="s">
        <v>581</v>
      </c>
      <c r="X152" s="177" t="str">
        <f t="shared" si="30"/>
        <v>PJ07811</v>
      </c>
      <c r="Y152" s="92" t="s">
        <v>1887</v>
      </c>
      <c r="Z152" s="88">
        <v>2896151</v>
      </c>
      <c r="AA152" s="178" t="str">
        <f t="shared" si="31"/>
        <v>PJ07812</v>
      </c>
      <c r="AB152" s="92" t="s">
        <v>1888</v>
      </c>
      <c r="AC152" s="88">
        <v>2896152</v>
      </c>
      <c r="AD152" s="187">
        <v>4225</v>
      </c>
      <c r="AE152" s="92" t="s">
        <v>583</v>
      </c>
      <c r="AF152" s="168" t="s">
        <v>330</v>
      </c>
      <c r="AG152" s="168" t="s">
        <v>413</v>
      </c>
      <c r="AH152" s="49" t="s">
        <v>270</v>
      </c>
    </row>
    <row r="153" spans="1:253" ht="38.25" customHeight="1">
      <c r="A153" s="11" t="s">
        <v>268</v>
      </c>
      <c r="B153" s="11" t="s">
        <v>1182</v>
      </c>
      <c r="C153" s="6" t="s">
        <v>129</v>
      </c>
      <c r="D153" s="17" t="s">
        <v>185</v>
      </c>
      <c r="E153" s="6" t="s">
        <v>146</v>
      </c>
      <c r="F153" s="11" t="s">
        <v>1625</v>
      </c>
      <c r="G153" s="11"/>
      <c r="H153" s="338" t="s">
        <v>2393</v>
      </c>
      <c r="I153" s="16"/>
      <c r="J153" s="16" t="s">
        <v>103</v>
      </c>
      <c r="K153" s="16"/>
      <c r="L153" s="16" t="s">
        <v>277</v>
      </c>
      <c r="M153" s="360"/>
      <c r="N153" s="361"/>
      <c r="O153" s="362"/>
      <c r="P153" s="351"/>
      <c r="Q153" s="6">
        <v>20</v>
      </c>
      <c r="R153" s="6" t="str">
        <f t="shared" si="29"/>
        <v>SC07817</v>
      </c>
      <c r="S153" s="6" t="str">
        <f t="shared" si="29"/>
        <v>DO07053</v>
      </c>
      <c r="T153" s="227" t="s">
        <v>2243</v>
      </c>
      <c r="U153" s="6">
        <v>2896130</v>
      </c>
      <c r="V153" s="320">
        <v>2652</v>
      </c>
      <c r="W153" s="89" t="s">
        <v>581</v>
      </c>
      <c r="X153" s="177" t="str">
        <f t="shared" si="30"/>
        <v>PJ07752</v>
      </c>
      <c r="Y153" s="92" t="s">
        <v>1858</v>
      </c>
      <c r="Z153" s="88">
        <v>2896143</v>
      </c>
      <c r="AA153" s="178" t="str">
        <f t="shared" si="31"/>
        <v>PJ07753</v>
      </c>
      <c r="AB153" s="92" t="s">
        <v>1859</v>
      </c>
      <c r="AC153" s="88">
        <v>2896144</v>
      </c>
      <c r="AD153" s="187">
        <v>4225</v>
      </c>
      <c r="AE153" s="92" t="s">
        <v>583</v>
      </c>
      <c r="AF153" s="168" t="s">
        <v>330</v>
      </c>
      <c r="AG153" s="168" t="s">
        <v>413</v>
      </c>
      <c r="AH153" s="49" t="s">
        <v>270</v>
      </c>
    </row>
    <row r="154" spans="1:253" ht="38.25" customHeight="1">
      <c r="A154" s="11" t="s">
        <v>268</v>
      </c>
      <c r="B154" s="11" t="s">
        <v>1182</v>
      </c>
      <c r="C154" s="6" t="s">
        <v>130</v>
      </c>
      <c r="D154" s="17" t="s">
        <v>186</v>
      </c>
      <c r="E154" s="6" t="s">
        <v>147</v>
      </c>
      <c r="F154" s="11" t="s">
        <v>1611</v>
      </c>
      <c r="G154" s="11"/>
      <c r="H154" s="339" t="s">
        <v>2394</v>
      </c>
      <c r="I154" s="16"/>
      <c r="J154" s="16" t="s">
        <v>103</v>
      </c>
      <c r="K154" s="16"/>
      <c r="L154" s="16" t="s">
        <v>277</v>
      </c>
      <c r="M154" s="360"/>
      <c r="N154" s="361"/>
      <c r="O154" s="362"/>
      <c r="P154" s="351"/>
      <c r="Q154" s="6">
        <v>22</v>
      </c>
      <c r="R154" s="6" t="str">
        <f t="shared" si="29"/>
        <v>SC07819</v>
      </c>
      <c r="S154" s="6" t="str">
        <f t="shared" si="29"/>
        <v>DO07055</v>
      </c>
      <c r="T154" s="227" t="s">
        <v>2245</v>
      </c>
      <c r="U154" s="6">
        <v>2896131</v>
      </c>
      <c r="V154" s="320">
        <v>2652</v>
      </c>
      <c r="W154" s="89" t="s">
        <v>581</v>
      </c>
      <c r="X154" s="177" t="str">
        <f t="shared" si="30"/>
        <v>PJ07813</v>
      </c>
      <c r="Y154" s="92" t="s">
        <v>1889</v>
      </c>
      <c r="Z154" s="88">
        <v>2896153</v>
      </c>
      <c r="AA154" s="178" t="str">
        <f t="shared" si="31"/>
        <v>PJ07814</v>
      </c>
      <c r="AB154" s="92" t="s">
        <v>1890</v>
      </c>
      <c r="AC154" s="88">
        <v>2896154</v>
      </c>
      <c r="AD154" s="187">
        <v>4225</v>
      </c>
      <c r="AE154" s="92" t="s">
        <v>583</v>
      </c>
      <c r="AF154" s="168" t="s">
        <v>330</v>
      </c>
      <c r="AG154" s="168" t="s">
        <v>413</v>
      </c>
      <c r="AH154" s="49" t="s">
        <v>270</v>
      </c>
    </row>
    <row r="155" spans="1:253" ht="38.25" customHeight="1">
      <c r="A155" s="11" t="s">
        <v>268</v>
      </c>
      <c r="B155" s="11" t="s">
        <v>1182</v>
      </c>
      <c r="C155" s="6" t="s">
        <v>131</v>
      </c>
      <c r="D155" s="17" t="s">
        <v>187</v>
      </c>
      <c r="E155" s="17" t="s">
        <v>148</v>
      </c>
      <c r="F155" s="11" t="s">
        <v>1612</v>
      </c>
      <c r="G155" s="11"/>
      <c r="H155" s="338" t="s">
        <v>2395</v>
      </c>
      <c r="I155" s="16"/>
      <c r="J155" s="16" t="s">
        <v>103</v>
      </c>
      <c r="K155" s="16"/>
      <c r="L155" s="16" t="s">
        <v>277</v>
      </c>
      <c r="M155" s="360"/>
      <c r="N155" s="361"/>
      <c r="O155" s="362"/>
      <c r="P155" s="351"/>
      <c r="Q155" s="6">
        <v>25</v>
      </c>
      <c r="R155" s="6" t="str">
        <f t="shared" si="29"/>
        <v>SC07820</v>
      </c>
      <c r="S155" s="6" t="str">
        <f t="shared" si="29"/>
        <v>DO07056</v>
      </c>
      <c r="T155" s="227" t="s">
        <v>1586</v>
      </c>
      <c r="U155" s="6">
        <v>2896132</v>
      </c>
      <c r="V155" s="320">
        <v>2652</v>
      </c>
      <c r="W155" s="89" t="s">
        <v>581</v>
      </c>
      <c r="X155" s="177" t="str">
        <f t="shared" si="30"/>
        <v>PJ07803</v>
      </c>
      <c r="Y155" s="92" t="s">
        <v>1885</v>
      </c>
      <c r="Z155" s="88">
        <v>2896155</v>
      </c>
      <c r="AA155" s="178" t="str">
        <f t="shared" si="31"/>
        <v>PJ07804</v>
      </c>
      <c r="AB155" s="92" t="s">
        <v>1886</v>
      </c>
      <c r="AC155" s="88">
        <v>2896156</v>
      </c>
      <c r="AD155" s="187">
        <v>4225</v>
      </c>
      <c r="AE155" s="92" t="s">
        <v>583</v>
      </c>
      <c r="AF155" s="168" t="s">
        <v>330</v>
      </c>
      <c r="AG155" s="168" t="s">
        <v>413</v>
      </c>
      <c r="AH155" s="49" t="s">
        <v>270</v>
      </c>
    </row>
    <row r="156" spans="1:253" s="2" customFormat="1" ht="38.25" customHeight="1">
      <c r="A156" s="11" t="s">
        <v>268</v>
      </c>
      <c r="B156" s="11" t="s">
        <v>1374</v>
      </c>
      <c r="C156" s="6" t="s">
        <v>132</v>
      </c>
      <c r="D156" s="17" t="s">
        <v>188</v>
      </c>
      <c r="E156" s="6" t="s">
        <v>149</v>
      </c>
      <c r="F156" s="11" t="s">
        <v>1613</v>
      </c>
      <c r="G156" s="11"/>
      <c r="H156" s="338" t="s">
        <v>2396</v>
      </c>
      <c r="I156" s="16"/>
      <c r="J156" s="16" t="s">
        <v>103</v>
      </c>
      <c r="K156" s="16"/>
      <c r="L156" s="16" t="s">
        <v>277</v>
      </c>
      <c r="M156" s="360"/>
      <c r="N156" s="361"/>
      <c r="O156" s="362"/>
      <c r="P156" s="351"/>
      <c r="Q156" s="6">
        <v>24</v>
      </c>
      <c r="R156" s="6" t="str">
        <f t="shared" si="29"/>
        <v>SC07826</v>
      </c>
      <c r="S156" s="6" t="str">
        <f t="shared" si="29"/>
        <v>DO07058</v>
      </c>
      <c r="T156" s="227" t="s">
        <v>1577</v>
      </c>
      <c r="U156" s="6" t="s">
        <v>294</v>
      </c>
      <c r="V156" s="320">
        <v>2652</v>
      </c>
      <c r="W156" s="89" t="s">
        <v>581</v>
      </c>
      <c r="X156" s="177" t="str">
        <f t="shared" si="30"/>
        <v>PJ07719</v>
      </c>
      <c r="Y156" s="92" t="s">
        <v>1847</v>
      </c>
      <c r="Z156" s="88" t="s">
        <v>294</v>
      </c>
      <c r="AA156" s="178" t="str">
        <f t="shared" si="31"/>
        <v>PJ07720</v>
      </c>
      <c r="AB156" s="92" t="s">
        <v>1848</v>
      </c>
      <c r="AC156" s="88" t="s">
        <v>294</v>
      </c>
      <c r="AD156" s="187">
        <v>4225</v>
      </c>
      <c r="AE156" s="92">
        <v>3607754</v>
      </c>
      <c r="AF156" s="168" t="s">
        <v>330</v>
      </c>
      <c r="AG156" s="168" t="s">
        <v>413</v>
      </c>
      <c r="AH156" s="49" t="s">
        <v>270</v>
      </c>
    </row>
    <row r="157" spans="1:253" ht="38.25" customHeight="1">
      <c r="A157" s="11" t="s">
        <v>268</v>
      </c>
      <c r="B157" s="11" t="s">
        <v>1374</v>
      </c>
      <c r="C157" s="6" t="s">
        <v>133</v>
      </c>
      <c r="D157" s="17" t="s">
        <v>189</v>
      </c>
      <c r="E157" s="6" t="s">
        <v>150</v>
      </c>
      <c r="F157" s="11" t="s">
        <v>1614</v>
      </c>
      <c r="G157" s="11"/>
      <c r="H157" s="338" t="s">
        <v>2397</v>
      </c>
      <c r="I157" s="16"/>
      <c r="J157" s="16" t="s">
        <v>103</v>
      </c>
      <c r="K157" s="16"/>
      <c r="L157" s="16" t="s">
        <v>277</v>
      </c>
      <c r="M157" s="360"/>
      <c r="N157" s="361"/>
      <c r="O157" s="362"/>
      <c r="P157" s="351"/>
      <c r="Q157" s="6">
        <v>28</v>
      </c>
      <c r="R157" s="6" t="str">
        <f t="shared" si="29"/>
        <v>SC07827</v>
      </c>
      <c r="S157" s="6" t="str">
        <f t="shared" si="29"/>
        <v>DO07059</v>
      </c>
      <c r="T157" s="227" t="s">
        <v>1580</v>
      </c>
      <c r="U157" s="6" t="s">
        <v>294</v>
      </c>
      <c r="V157" s="320">
        <v>2652</v>
      </c>
      <c r="W157" s="92" t="s">
        <v>1164</v>
      </c>
      <c r="X157" s="177" t="str">
        <f t="shared" si="30"/>
        <v>PJ07721</v>
      </c>
      <c r="Y157" s="92" t="s">
        <v>1849</v>
      </c>
      <c r="Z157" s="88" t="s">
        <v>294</v>
      </c>
      <c r="AA157" s="178" t="str">
        <f t="shared" si="31"/>
        <v>PJ07722</v>
      </c>
      <c r="AB157" s="92" t="s">
        <v>1850</v>
      </c>
      <c r="AC157" s="88" t="s">
        <v>294</v>
      </c>
      <c r="AD157" s="187">
        <v>4225</v>
      </c>
      <c r="AE157" s="92">
        <v>3607754</v>
      </c>
      <c r="AF157" s="168" t="s">
        <v>330</v>
      </c>
      <c r="AG157" s="168" t="s">
        <v>413</v>
      </c>
      <c r="AH157" s="49" t="s">
        <v>270</v>
      </c>
    </row>
    <row r="158" spans="1:253" ht="38.25" customHeight="1">
      <c r="A158" s="11" t="s">
        <v>268</v>
      </c>
      <c r="B158" s="11" t="s">
        <v>1374</v>
      </c>
      <c r="C158" s="6" t="s">
        <v>134</v>
      </c>
      <c r="D158" s="17" t="s">
        <v>190</v>
      </c>
      <c r="E158" s="6" t="s">
        <v>151</v>
      </c>
      <c r="F158" s="11" t="s">
        <v>1615</v>
      </c>
      <c r="G158" s="11"/>
      <c r="H158" s="338" t="s">
        <v>2399</v>
      </c>
      <c r="I158" s="16"/>
      <c r="J158" s="16" t="s">
        <v>103</v>
      </c>
      <c r="K158" s="16"/>
      <c r="L158" s="16" t="s">
        <v>277</v>
      </c>
      <c r="M158" s="360"/>
      <c r="N158" s="361"/>
      <c r="O158" s="362"/>
      <c r="P158" s="351"/>
      <c r="Q158" s="6">
        <v>19</v>
      </c>
      <c r="R158" s="6" t="str">
        <f t="shared" si="29"/>
        <v>SC07829</v>
      </c>
      <c r="S158" s="6" t="str">
        <f t="shared" si="29"/>
        <v>DO07060</v>
      </c>
      <c r="T158" s="227" t="s">
        <v>1588</v>
      </c>
      <c r="U158" s="6" t="s">
        <v>294</v>
      </c>
      <c r="V158" s="320">
        <v>2652</v>
      </c>
      <c r="W158" s="89" t="s">
        <v>582</v>
      </c>
      <c r="X158" s="177" t="str">
        <f t="shared" si="30"/>
        <v>PJ07797</v>
      </c>
      <c r="Y158" s="92" t="s">
        <v>1880</v>
      </c>
      <c r="Z158" s="88" t="s">
        <v>294</v>
      </c>
      <c r="AA158" s="178" t="str">
        <f t="shared" si="31"/>
        <v>PJ07798</v>
      </c>
      <c r="AB158" s="92" t="s">
        <v>1881</v>
      </c>
      <c r="AC158" s="88" t="s">
        <v>294</v>
      </c>
      <c r="AD158" s="187">
        <v>4225</v>
      </c>
      <c r="AE158" s="92">
        <v>3607754</v>
      </c>
      <c r="AF158" s="168" t="s">
        <v>330</v>
      </c>
      <c r="AG158" s="168" t="s">
        <v>413</v>
      </c>
      <c r="AH158" s="49" t="s">
        <v>270</v>
      </c>
    </row>
    <row r="159" spans="1:253" ht="51" customHeight="1">
      <c r="A159" s="11" t="s">
        <v>268</v>
      </c>
      <c r="B159" s="11" t="s">
        <v>1374</v>
      </c>
      <c r="C159" s="6" t="s">
        <v>135</v>
      </c>
      <c r="D159" s="17" t="s">
        <v>191</v>
      </c>
      <c r="E159" s="6" t="s">
        <v>152</v>
      </c>
      <c r="F159" s="11" t="s">
        <v>1616</v>
      </c>
      <c r="G159" s="11"/>
      <c r="H159" s="338" t="s">
        <v>2398</v>
      </c>
      <c r="I159" s="16"/>
      <c r="J159" s="16" t="s">
        <v>103</v>
      </c>
      <c r="K159" s="16"/>
      <c r="L159" s="16" t="s">
        <v>277</v>
      </c>
      <c r="M159" s="360"/>
      <c r="N159" s="361"/>
      <c r="O159" s="362"/>
      <c r="P159" s="351"/>
      <c r="Q159" s="6">
        <v>26</v>
      </c>
      <c r="R159" s="6" t="str">
        <f t="shared" si="29"/>
        <v>SC07830</v>
      </c>
      <c r="S159" s="6" t="str">
        <f t="shared" si="29"/>
        <v>DO07061</v>
      </c>
      <c r="T159" s="227" t="s">
        <v>1590</v>
      </c>
      <c r="U159" s="6" t="s">
        <v>294</v>
      </c>
      <c r="V159" s="320">
        <v>2652</v>
      </c>
      <c r="W159" s="89" t="s">
        <v>582</v>
      </c>
      <c r="X159" s="177" t="str">
        <f t="shared" si="30"/>
        <v>PJ07799</v>
      </c>
      <c r="Y159" s="92" t="s">
        <v>1882</v>
      </c>
      <c r="Z159" s="88" t="s">
        <v>294</v>
      </c>
      <c r="AA159" s="178" t="str">
        <f t="shared" si="31"/>
        <v>PJ07800</v>
      </c>
      <c r="AB159" s="92" t="s">
        <v>1883</v>
      </c>
      <c r="AC159" s="88" t="s">
        <v>294</v>
      </c>
      <c r="AD159" s="187">
        <v>4225</v>
      </c>
      <c r="AE159" s="92">
        <v>3607754</v>
      </c>
      <c r="AF159" s="168" t="s">
        <v>330</v>
      </c>
      <c r="AG159" s="168" t="s">
        <v>413</v>
      </c>
      <c r="AH159" s="49" t="s">
        <v>270</v>
      </c>
      <c r="IO159" s="74"/>
      <c r="IP159" s="73"/>
      <c r="IQ159" s="73"/>
      <c r="IR159" s="76"/>
      <c r="IS159" s="74"/>
    </row>
    <row r="160" spans="1:253" ht="51" customHeight="1">
      <c r="A160" s="11" t="s">
        <v>268</v>
      </c>
      <c r="B160" s="11" t="s">
        <v>1182</v>
      </c>
      <c r="C160" s="18" t="s">
        <v>240</v>
      </c>
      <c r="D160" s="19" t="s">
        <v>192</v>
      </c>
      <c r="E160" s="6" t="s">
        <v>77</v>
      </c>
      <c r="F160" s="11" t="s">
        <v>1428</v>
      </c>
      <c r="G160" s="11"/>
      <c r="H160" s="338" t="s">
        <v>2383</v>
      </c>
      <c r="I160" s="16"/>
      <c r="J160" s="16" t="s">
        <v>11</v>
      </c>
      <c r="K160" s="16"/>
      <c r="L160" s="16" t="s">
        <v>275</v>
      </c>
      <c r="M160" s="360" t="s">
        <v>100</v>
      </c>
      <c r="N160" s="361" t="s">
        <v>72</v>
      </c>
      <c r="O160" s="362" t="s">
        <v>71</v>
      </c>
      <c r="P160" s="351" t="s">
        <v>71</v>
      </c>
      <c r="Q160" s="6">
        <v>21</v>
      </c>
      <c r="R160" s="6" t="str">
        <f t="shared" si="29"/>
        <v>SC07859</v>
      </c>
      <c r="S160" s="6" t="str">
        <f t="shared" si="29"/>
        <v>DO07081</v>
      </c>
      <c r="T160" s="227" t="s">
        <v>2265</v>
      </c>
      <c r="U160" s="6" t="s">
        <v>294</v>
      </c>
      <c r="V160" s="320">
        <v>2690</v>
      </c>
      <c r="W160" s="89" t="s">
        <v>581</v>
      </c>
      <c r="X160" s="178" t="s">
        <v>1497</v>
      </c>
      <c r="Y160" s="92" t="s">
        <v>1499</v>
      </c>
      <c r="Z160" s="88">
        <v>2896196</v>
      </c>
      <c r="AA160" s="178" t="s">
        <v>1498</v>
      </c>
      <c r="AB160" s="92" t="s">
        <v>1500</v>
      </c>
      <c r="AC160" s="88">
        <v>2896197</v>
      </c>
      <c r="AD160" s="187">
        <v>4352</v>
      </c>
      <c r="AE160" s="92" t="s">
        <v>583</v>
      </c>
      <c r="AF160" s="168" t="s">
        <v>330</v>
      </c>
      <c r="AG160" s="168" t="s">
        <v>413</v>
      </c>
      <c r="AH160" s="49" t="s">
        <v>270</v>
      </c>
    </row>
    <row r="161" spans="1:34" s="176" customFormat="1" ht="51" customHeight="1">
      <c r="A161" s="11" t="s">
        <v>268</v>
      </c>
      <c r="B161" s="11" t="s">
        <v>1182</v>
      </c>
      <c r="C161" s="18" t="s">
        <v>241</v>
      </c>
      <c r="D161" s="19" t="s">
        <v>193</v>
      </c>
      <c r="E161" s="6" t="s">
        <v>78</v>
      </c>
      <c r="F161" s="11" t="s">
        <v>1427</v>
      </c>
      <c r="G161" s="11"/>
      <c r="H161" s="338" t="s">
        <v>2384</v>
      </c>
      <c r="I161" s="16"/>
      <c r="J161" s="16" t="s">
        <v>11</v>
      </c>
      <c r="K161" s="16"/>
      <c r="L161" s="16" t="s">
        <v>275</v>
      </c>
      <c r="M161" s="360"/>
      <c r="N161" s="361"/>
      <c r="O161" s="362"/>
      <c r="P161" s="351"/>
      <c r="Q161" s="6">
        <v>23</v>
      </c>
      <c r="R161" s="6" t="str">
        <f t="shared" si="29"/>
        <v>SC07860</v>
      </c>
      <c r="S161" s="6" t="str">
        <f t="shared" si="29"/>
        <v>DO07082</v>
      </c>
      <c r="T161" s="227" t="s">
        <v>2266</v>
      </c>
      <c r="U161" s="6" t="s">
        <v>294</v>
      </c>
      <c r="V161" s="320">
        <v>2690</v>
      </c>
      <c r="W161" s="89" t="s">
        <v>581</v>
      </c>
      <c r="X161" s="178" t="s">
        <v>1501</v>
      </c>
      <c r="Y161" s="92" t="s">
        <v>1503</v>
      </c>
      <c r="Z161" s="88">
        <v>2896198</v>
      </c>
      <c r="AA161" s="178" t="s">
        <v>1502</v>
      </c>
      <c r="AB161" s="92" t="s">
        <v>1504</v>
      </c>
      <c r="AC161" s="88">
        <v>2896199</v>
      </c>
      <c r="AD161" s="187">
        <v>4352</v>
      </c>
      <c r="AE161" s="92" t="s">
        <v>583</v>
      </c>
      <c r="AF161" s="168" t="s">
        <v>330</v>
      </c>
      <c r="AG161" s="168" t="s">
        <v>413</v>
      </c>
      <c r="AH161" s="49" t="s">
        <v>270</v>
      </c>
    </row>
    <row r="162" spans="1:34" s="176" customFormat="1" ht="51" customHeight="1">
      <c r="A162" s="11" t="s">
        <v>268</v>
      </c>
      <c r="B162" s="11" t="s">
        <v>1182</v>
      </c>
      <c r="C162" s="18" t="s">
        <v>242</v>
      </c>
      <c r="D162" s="19" t="s">
        <v>194</v>
      </c>
      <c r="E162" s="6" t="s">
        <v>79</v>
      </c>
      <c r="F162" s="11" t="s">
        <v>1429</v>
      </c>
      <c r="G162" s="11"/>
      <c r="H162" s="338" t="s">
        <v>2385</v>
      </c>
      <c r="I162" s="16"/>
      <c r="J162" s="16" t="s">
        <v>11</v>
      </c>
      <c r="K162" s="16"/>
      <c r="L162" s="16" t="s">
        <v>275</v>
      </c>
      <c r="M162" s="360"/>
      <c r="N162" s="361"/>
      <c r="O162" s="362"/>
      <c r="P162" s="351"/>
      <c r="Q162" s="6">
        <v>17</v>
      </c>
      <c r="R162" s="6" t="str">
        <f t="shared" si="29"/>
        <v>SC07861</v>
      </c>
      <c r="S162" s="6" t="str">
        <f t="shared" si="29"/>
        <v>DO07083</v>
      </c>
      <c r="T162" s="227" t="s">
        <v>2267</v>
      </c>
      <c r="U162" s="6" t="s">
        <v>294</v>
      </c>
      <c r="V162" s="320">
        <v>2690</v>
      </c>
      <c r="W162" s="89" t="s">
        <v>581</v>
      </c>
      <c r="X162" s="178" t="s">
        <v>1505</v>
      </c>
      <c r="Y162" s="92" t="s">
        <v>1507</v>
      </c>
      <c r="Z162" s="88">
        <v>2896200</v>
      </c>
      <c r="AA162" s="178" t="s">
        <v>1506</v>
      </c>
      <c r="AB162" s="92" t="s">
        <v>1508</v>
      </c>
      <c r="AC162" s="88">
        <v>2896201</v>
      </c>
      <c r="AD162" s="187">
        <v>4352</v>
      </c>
      <c r="AE162" s="92" t="s">
        <v>583</v>
      </c>
      <c r="AF162" s="168" t="s">
        <v>330</v>
      </c>
      <c r="AG162" s="168" t="s">
        <v>413</v>
      </c>
      <c r="AH162" s="49" t="s">
        <v>270</v>
      </c>
    </row>
    <row r="163" spans="1:34" ht="51" customHeight="1">
      <c r="A163" s="11" t="s">
        <v>268</v>
      </c>
      <c r="B163" s="11" t="s">
        <v>1182</v>
      </c>
      <c r="C163" s="18" t="s">
        <v>243</v>
      </c>
      <c r="D163" s="19" t="s">
        <v>195</v>
      </c>
      <c r="E163" s="6" t="s">
        <v>80</v>
      </c>
      <c r="F163" s="11" t="s">
        <v>1430</v>
      </c>
      <c r="G163" s="11"/>
      <c r="H163" s="338" t="s">
        <v>2386</v>
      </c>
      <c r="I163" s="16"/>
      <c r="J163" s="16" t="s">
        <v>11</v>
      </c>
      <c r="K163" s="16"/>
      <c r="L163" s="16" t="s">
        <v>275</v>
      </c>
      <c r="M163" s="360"/>
      <c r="N163" s="361"/>
      <c r="O163" s="362"/>
      <c r="P163" s="351"/>
      <c r="Q163" s="6">
        <v>16</v>
      </c>
      <c r="R163" s="6" t="str">
        <f t="shared" ref="R163:S214" si="32">C163</f>
        <v>SC07862</v>
      </c>
      <c r="S163" s="6" t="str">
        <f t="shared" si="32"/>
        <v>DO07084</v>
      </c>
      <c r="T163" s="227" t="s">
        <v>2268</v>
      </c>
      <c r="U163" s="6" t="s">
        <v>294</v>
      </c>
      <c r="V163" s="320">
        <v>2690</v>
      </c>
      <c r="W163" s="89" t="s">
        <v>581</v>
      </c>
      <c r="X163" s="178" t="s">
        <v>1509</v>
      </c>
      <c r="Y163" s="92" t="s">
        <v>1511</v>
      </c>
      <c r="Z163" s="88">
        <v>2896202</v>
      </c>
      <c r="AA163" s="178" t="s">
        <v>1510</v>
      </c>
      <c r="AB163" s="92" t="s">
        <v>1512</v>
      </c>
      <c r="AC163" s="88">
        <v>2896203</v>
      </c>
      <c r="AD163" s="187">
        <v>4352</v>
      </c>
      <c r="AE163" s="92" t="s">
        <v>583</v>
      </c>
      <c r="AF163" s="168" t="s">
        <v>330</v>
      </c>
      <c r="AG163" s="168" t="s">
        <v>413</v>
      </c>
      <c r="AH163" s="49" t="s">
        <v>270</v>
      </c>
    </row>
    <row r="164" spans="1:34" s="72" customFormat="1" ht="51" customHeight="1">
      <c r="A164" s="11" t="s">
        <v>268</v>
      </c>
      <c r="B164" s="11" t="s">
        <v>1182</v>
      </c>
      <c r="C164" s="18" t="s">
        <v>244</v>
      </c>
      <c r="D164" s="19" t="s">
        <v>196</v>
      </c>
      <c r="E164" s="6" t="s">
        <v>81</v>
      </c>
      <c r="F164" s="11" t="s">
        <v>1431</v>
      </c>
      <c r="G164" s="11"/>
      <c r="H164" s="338" t="s">
        <v>2387</v>
      </c>
      <c r="I164" s="16"/>
      <c r="J164" s="16" t="s">
        <v>11</v>
      </c>
      <c r="K164" s="16"/>
      <c r="L164" s="16" t="s">
        <v>275</v>
      </c>
      <c r="M164" s="360"/>
      <c r="N164" s="361"/>
      <c r="O164" s="362"/>
      <c r="P164" s="351"/>
      <c r="Q164" s="6">
        <v>14</v>
      </c>
      <c r="R164" s="6" t="str">
        <f t="shared" si="32"/>
        <v>SC07863</v>
      </c>
      <c r="S164" s="6" t="str">
        <f t="shared" si="32"/>
        <v>DO07085</v>
      </c>
      <c r="T164" s="227" t="s">
        <v>2269</v>
      </c>
      <c r="U164" s="6" t="s">
        <v>294</v>
      </c>
      <c r="V164" s="320">
        <v>2690</v>
      </c>
      <c r="W164" s="89" t="s">
        <v>581</v>
      </c>
      <c r="X164" s="178" t="s">
        <v>1514</v>
      </c>
      <c r="Y164" s="92" t="s">
        <v>1515</v>
      </c>
      <c r="Z164" s="88">
        <v>2896204</v>
      </c>
      <c r="AA164" s="178" t="s">
        <v>1513</v>
      </c>
      <c r="AB164" s="92" t="s">
        <v>1516</v>
      </c>
      <c r="AC164" s="88">
        <v>2896205</v>
      </c>
      <c r="AD164" s="187">
        <v>4352</v>
      </c>
      <c r="AE164" s="92" t="s">
        <v>583</v>
      </c>
      <c r="AF164" s="168" t="s">
        <v>330</v>
      </c>
      <c r="AG164" s="168" t="s">
        <v>413</v>
      </c>
      <c r="AH164" s="49" t="s">
        <v>270</v>
      </c>
    </row>
    <row r="165" spans="1:34" s="72" customFormat="1" ht="63.75" customHeight="1">
      <c r="A165" s="11" t="s">
        <v>268</v>
      </c>
      <c r="B165" s="11" t="s">
        <v>1182</v>
      </c>
      <c r="C165" s="18" t="s">
        <v>245</v>
      </c>
      <c r="D165" s="19" t="s">
        <v>197</v>
      </c>
      <c r="E165" s="6" t="s">
        <v>82</v>
      </c>
      <c r="F165" s="177" t="s">
        <v>1432</v>
      </c>
      <c r="G165" s="11"/>
      <c r="H165" s="338" t="s">
        <v>2388</v>
      </c>
      <c r="I165" s="16"/>
      <c r="J165" s="16" t="s">
        <v>11</v>
      </c>
      <c r="K165" s="16"/>
      <c r="L165" s="16" t="s">
        <v>275</v>
      </c>
      <c r="M165" s="360"/>
      <c r="N165" s="361"/>
      <c r="O165" s="362"/>
      <c r="P165" s="351"/>
      <c r="Q165" s="6">
        <v>18</v>
      </c>
      <c r="R165" s="6" t="str">
        <f t="shared" si="32"/>
        <v>SC07864</v>
      </c>
      <c r="S165" s="6" t="str">
        <f t="shared" si="32"/>
        <v>DO07086</v>
      </c>
      <c r="T165" s="227" t="s">
        <v>2270</v>
      </c>
      <c r="U165" s="6" t="s">
        <v>294</v>
      </c>
      <c r="V165" s="320">
        <v>2690</v>
      </c>
      <c r="W165" s="89" t="s">
        <v>581</v>
      </c>
      <c r="X165" s="178" t="s">
        <v>1517</v>
      </c>
      <c r="Y165" s="92" t="s">
        <v>1519</v>
      </c>
      <c r="Z165" s="88">
        <v>2896206</v>
      </c>
      <c r="AA165" s="178" t="s">
        <v>1518</v>
      </c>
      <c r="AB165" s="92" t="s">
        <v>1520</v>
      </c>
      <c r="AC165" s="88">
        <v>2896207</v>
      </c>
      <c r="AD165" s="187">
        <v>4352</v>
      </c>
      <c r="AE165" s="92" t="s">
        <v>583</v>
      </c>
      <c r="AF165" s="168" t="s">
        <v>330</v>
      </c>
      <c r="AG165" s="168" t="s">
        <v>413</v>
      </c>
      <c r="AH165" s="49" t="s">
        <v>270</v>
      </c>
    </row>
    <row r="166" spans="1:34" s="72" customFormat="1" ht="51" customHeight="1">
      <c r="A166" s="11" t="s">
        <v>268</v>
      </c>
      <c r="B166" s="11" t="s">
        <v>1182</v>
      </c>
      <c r="C166" s="18" t="s">
        <v>246</v>
      </c>
      <c r="D166" s="19" t="s">
        <v>198</v>
      </c>
      <c r="E166" s="6" t="s">
        <v>83</v>
      </c>
      <c r="F166" s="16" t="s">
        <v>1433</v>
      </c>
      <c r="G166" s="11"/>
      <c r="H166" s="338" t="s">
        <v>2389</v>
      </c>
      <c r="I166" s="16"/>
      <c r="J166" s="16" t="s">
        <v>11</v>
      </c>
      <c r="K166" s="16"/>
      <c r="L166" s="16" t="s">
        <v>275</v>
      </c>
      <c r="M166" s="360"/>
      <c r="N166" s="361"/>
      <c r="O166" s="362"/>
      <c r="P166" s="351"/>
      <c r="Q166" s="6">
        <v>27</v>
      </c>
      <c r="R166" s="6" t="str">
        <f t="shared" si="32"/>
        <v>SC07865</v>
      </c>
      <c r="S166" s="6" t="str">
        <f t="shared" si="32"/>
        <v>DO07087</v>
      </c>
      <c r="T166" s="227" t="s">
        <v>2271</v>
      </c>
      <c r="U166" s="6" t="s">
        <v>294</v>
      </c>
      <c r="V166" s="320">
        <v>2690</v>
      </c>
      <c r="W166" s="89" t="s">
        <v>581</v>
      </c>
      <c r="X166" s="178" t="s">
        <v>1521</v>
      </c>
      <c r="Y166" s="92" t="s">
        <v>1523</v>
      </c>
      <c r="Z166" s="88">
        <v>2896208</v>
      </c>
      <c r="AA166" s="178" t="s">
        <v>1522</v>
      </c>
      <c r="AB166" s="92" t="s">
        <v>1524</v>
      </c>
      <c r="AC166" s="88">
        <v>2896209</v>
      </c>
      <c r="AD166" s="187">
        <v>4352</v>
      </c>
      <c r="AE166" s="92" t="s">
        <v>583</v>
      </c>
      <c r="AF166" s="168" t="s">
        <v>330</v>
      </c>
      <c r="AG166" s="168" t="s">
        <v>413</v>
      </c>
      <c r="AH166" s="49" t="s">
        <v>270</v>
      </c>
    </row>
    <row r="167" spans="1:34" s="72" customFormat="1" ht="63.75" customHeight="1">
      <c r="A167" s="11" t="s">
        <v>268</v>
      </c>
      <c r="B167" s="11" t="s">
        <v>1182</v>
      </c>
      <c r="C167" s="18" t="s">
        <v>247</v>
      </c>
      <c r="D167" s="19" t="s">
        <v>199</v>
      </c>
      <c r="E167" s="6" t="s">
        <v>84</v>
      </c>
      <c r="F167" s="11" t="s">
        <v>1434</v>
      </c>
      <c r="G167" s="11"/>
      <c r="H167" s="338" t="s">
        <v>2390</v>
      </c>
      <c r="I167" s="16"/>
      <c r="J167" s="16" t="s">
        <v>11</v>
      </c>
      <c r="K167" s="16"/>
      <c r="L167" s="16" t="s">
        <v>275</v>
      </c>
      <c r="M167" s="360"/>
      <c r="N167" s="361"/>
      <c r="O167" s="362"/>
      <c r="P167" s="351"/>
      <c r="Q167" s="6">
        <v>15</v>
      </c>
      <c r="R167" s="6" t="str">
        <f t="shared" si="32"/>
        <v>SC07866</v>
      </c>
      <c r="S167" s="6" t="str">
        <f t="shared" si="32"/>
        <v>DO07088</v>
      </c>
      <c r="T167" s="227" t="s">
        <v>2272</v>
      </c>
      <c r="U167" s="6" t="s">
        <v>294</v>
      </c>
      <c r="V167" s="320">
        <v>2690</v>
      </c>
      <c r="W167" s="89" t="s">
        <v>581</v>
      </c>
      <c r="X167" s="178" t="s">
        <v>1525</v>
      </c>
      <c r="Y167" s="92" t="s">
        <v>1527</v>
      </c>
      <c r="Z167" s="88">
        <v>2896210</v>
      </c>
      <c r="AA167" s="178" t="s">
        <v>1526</v>
      </c>
      <c r="AB167" s="92" t="s">
        <v>1528</v>
      </c>
      <c r="AC167" s="88">
        <v>2896211</v>
      </c>
      <c r="AD167" s="187">
        <v>4352</v>
      </c>
      <c r="AE167" s="92" t="s">
        <v>583</v>
      </c>
      <c r="AF167" s="168" t="s">
        <v>330</v>
      </c>
      <c r="AG167" s="168" t="s">
        <v>413</v>
      </c>
      <c r="AH167" s="49" t="s">
        <v>270</v>
      </c>
    </row>
    <row r="168" spans="1:34" s="176" customFormat="1" ht="63.75" customHeight="1">
      <c r="A168" s="11" t="s">
        <v>268</v>
      </c>
      <c r="B168" s="11" t="s">
        <v>1182</v>
      </c>
      <c r="C168" s="18" t="s">
        <v>248</v>
      </c>
      <c r="D168" s="19" t="s">
        <v>200</v>
      </c>
      <c r="E168" s="6" t="s">
        <v>85</v>
      </c>
      <c r="F168" s="11" t="s">
        <v>1435</v>
      </c>
      <c r="G168" s="11"/>
      <c r="H168" s="338" t="s">
        <v>2391</v>
      </c>
      <c r="I168" s="16"/>
      <c r="J168" s="16" t="s">
        <v>11</v>
      </c>
      <c r="K168" s="16"/>
      <c r="L168" s="16" t="s">
        <v>275</v>
      </c>
      <c r="M168" s="360"/>
      <c r="N168" s="361"/>
      <c r="O168" s="362"/>
      <c r="P168" s="351"/>
      <c r="Q168" s="6">
        <v>12</v>
      </c>
      <c r="R168" s="6" t="str">
        <f t="shared" si="32"/>
        <v>SC07867</v>
      </c>
      <c r="S168" s="6" t="str">
        <f t="shared" si="32"/>
        <v>DO07089</v>
      </c>
      <c r="T168" s="227" t="s">
        <v>2273</v>
      </c>
      <c r="U168" s="6" t="s">
        <v>294</v>
      </c>
      <c r="V168" s="320">
        <v>2690</v>
      </c>
      <c r="W168" s="89" t="s">
        <v>581</v>
      </c>
      <c r="X168" s="178" t="s">
        <v>1529</v>
      </c>
      <c r="Y168" s="92" t="s">
        <v>1531</v>
      </c>
      <c r="Z168" s="88">
        <v>2896212</v>
      </c>
      <c r="AA168" s="178" t="s">
        <v>1530</v>
      </c>
      <c r="AB168" s="92" t="s">
        <v>1532</v>
      </c>
      <c r="AC168" s="88">
        <v>2896213</v>
      </c>
      <c r="AD168" s="187">
        <v>4352</v>
      </c>
      <c r="AE168" s="92" t="s">
        <v>583</v>
      </c>
      <c r="AF168" s="168" t="s">
        <v>330</v>
      </c>
      <c r="AG168" s="168" t="s">
        <v>413</v>
      </c>
      <c r="AH168" s="49" t="s">
        <v>270</v>
      </c>
    </row>
    <row r="169" spans="1:34" s="176" customFormat="1" ht="51" customHeight="1">
      <c r="A169" s="11" t="s">
        <v>268</v>
      </c>
      <c r="B169" s="11" t="s">
        <v>1182</v>
      </c>
      <c r="C169" s="18" t="s">
        <v>249</v>
      </c>
      <c r="D169" s="19" t="s">
        <v>201</v>
      </c>
      <c r="E169" s="6" t="s">
        <v>86</v>
      </c>
      <c r="F169" s="11" t="s">
        <v>1436</v>
      </c>
      <c r="G169" s="11"/>
      <c r="H169" s="338" t="s">
        <v>2392</v>
      </c>
      <c r="I169" s="16"/>
      <c r="J169" s="16" t="s">
        <v>11</v>
      </c>
      <c r="K169" s="16"/>
      <c r="L169" s="16" t="s">
        <v>275</v>
      </c>
      <c r="M169" s="360"/>
      <c r="N169" s="361"/>
      <c r="O169" s="362"/>
      <c r="P169" s="351"/>
      <c r="Q169" s="6">
        <v>13</v>
      </c>
      <c r="R169" s="6" t="str">
        <f t="shared" si="32"/>
        <v>SC07868</v>
      </c>
      <c r="S169" s="6" t="str">
        <f t="shared" si="32"/>
        <v>DO07090</v>
      </c>
      <c r="T169" s="227" t="s">
        <v>2274</v>
      </c>
      <c r="U169" s="6" t="s">
        <v>294</v>
      </c>
      <c r="V169" s="320">
        <v>2690</v>
      </c>
      <c r="W169" s="89" t="s">
        <v>581</v>
      </c>
      <c r="X169" s="178" t="s">
        <v>1533</v>
      </c>
      <c r="Y169" s="92" t="s">
        <v>1535</v>
      </c>
      <c r="Z169" s="88">
        <v>2896214</v>
      </c>
      <c r="AA169" s="178" t="s">
        <v>1534</v>
      </c>
      <c r="AB169" s="92" t="s">
        <v>1536</v>
      </c>
      <c r="AC169" s="88">
        <v>2896215</v>
      </c>
      <c r="AD169" s="187">
        <v>4352</v>
      </c>
      <c r="AE169" s="92" t="s">
        <v>583</v>
      </c>
      <c r="AF169" s="168" t="s">
        <v>330</v>
      </c>
      <c r="AG169" s="168" t="s">
        <v>413</v>
      </c>
      <c r="AH169" s="49" t="s">
        <v>270</v>
      </c>
    </row>
    <row r="170" spans="1:34" s="72" customFormat="1" ht="51" customHeight="1">
      <c r="A170" s="11" t="s">
        <v>268</v>
      </c>
      <c r="B170" s="11" t="s">
        <v>1182</v>
      </c>
      <c r="C170" s="18" t="s">
        <v>250</v>
      </c>
      <c r="D170" s="19" t="s">
        <v>202</v>
      </c>
      <c r="E170" s="6" t="s">
        <v>87</v>
      </c>
      <c r="F170" s="11" t="s">
        <v>1437</v>
      </c>
      <c r="G170" s="11"/>
      <c r="H170" s="338" t="s">
        <v>2393</v>
      </c>
      <c r="I170" s="16"/>
      <c r="J170" s="16" t="s">
        <v>11</v>
      </c>
      <c r="K170" s="16"/>
      <c r="L170" s="16" t="s">
        <v>275</v>
      </c>
      <c r="M170" s="360"/>
      <c r="N170" s="361"/>
      <c r="O170" s="362"/>
      <c r="P170" s="351"/>
      <c r="Q170" s="6">
        <v>20</v>
      </c>
      <c r="R170" s="6" t="str">
        <f t="shared" si="32"/>
        <v>SC07869</v>
      </c>
      <c r="S170" s="6" t="str">
        <f t="shared" si="32"/>
        <v>DO07091</v>
      </c>
      <c r="T170" s="227" t="s">
        <v>2275</v>
      </c>
      <c r="U170" s="6" t="s">
        <v>294</v>
      </c>
      <c r="V170" s="320">
        <v>2690</v>
      </c>
      <c r="W170" s="89" t="s">
        <v>581</v>
      </c>
      <c r="X170" s="178" t="s">
        <v>1537</v>
      </c>
      <c r="Y170" s="92" t="s">
        <v>1539</v>
      </c>
      <c r="Z170" s="88">
        <v>2896216</v>
      </c>
      <c r="AA170" s="178" t="s">
        <v>1538</v>
      </c>
      <c r="AB170" s="92" t="s">
        <v>1540</v>
      </c>
      <c r="AC170" s="88">
        <v>2896217</v>
      </c>
      <c r="AD170" s="187">
        <v>4352</v>
      </c>
      <c r="AE170" s="92" t="s">
        <v>583</v>
      </c>
      <c r="AF170" s="168" t="s">
        <v>330</v>
      </c>
      <c r="AG170" s="168" t="s">
        <v>413</v>
      </c>
      <c r="AH170" s="49" t="s">
        <v>270</v>
      </c>
    </row>
    <row r="171" spans="1:34" s="176" customFormat="1" ht="51" customHeight="1">
      <c r="A171" s="11" t="s">
        <v>268</v>
      </c>
      <c r="B171" s="11" t="s">
        <v>1182</v>
      </c>
      <c r="C171" s="18" t="s">
        <v>251</v>
      </c>
      <c r="D171" s="19" t="s">
        <v>203</v>
      </c>
      <c r="E171" s="6" t="s">
        <v>88</v>
      </c>
      <c r="F171" s="11" t="s">
        <v>1438</v>
      </c>
      <c r="G171" s="11"/>
      <c r="H171" s="339" t="s">
        <v>2394</v>
      </c>
      <c r="I171" s="16"/>
      <c r="J171" s="16" t="s">
        <v>11</v>
      </c>
      <c r="K171" s="16"/>
      <c r="L171" s="16" t="s">
        <v>275</v>
      </c>
      <c r="M171" s="360"/>
      <c r="N171" s="361"/>
      <c r="O171" s="362"/>
      <c r="P171" s="351"/>
      <c r="Q171" s="6">
        <v>22</v>
      </c>
      <c r="R171" s="6" t="str">
        <f t="shared" si="32"/>
        <v>SC07870</v>
      </c>
      <c r="S171" s="6" t="str">
        <f t="shared" si="32"/>
        <v>DO07092</v>
      </c>
      <c r="T171" s="227" t="s">
        <v>2276</v>
      </c>
      <c r="U171" s="6" t="s">
        <v>294</v>
      </c>
      <c r="V171" s="320">
        <v>2690</v>
      </c>
      <c r="W171" s="89" t="s">
        <v>581</v>
      </c>
      <c r="X171" s="178" t="s">
        <v>1541</v>
      </c>
      <c r="Y171" s="92" t="s">
        <v>1543</v>
      </c>
      <c r="Z171" s="88">
        <v>2896218</v>
      </c>
      <c r="AA171" s="178" t="s">
        <v>1542</v>
      </c>
      <c r="AB171" s="92" t="s">
        <v>1544</v>
      </c>
      <c r="AC171" s="88">
        <v>2896219</v>
      </c>
      <c r="AD171" s="187">
        <v>4352</v>
      </c>
      <c r="AE171" s="92" t="s">
        <v>583</v>
      </c>
      <c r="AF171" s="168" t="s">
        <v>330</v>
      </c>
      <c r="AG171" s="168" t="s">
        <v>413</v>
      </c>
      <c r="AH171" s="49" t="s">
        <v>270</v>
      </c>
    </row>
    <row r="172" spans="1:34" s="72" customFormat="1" ht="51" customHeight="1">
      <c r="A172" s="11" t="s">
        <v>268</v>
      </c>
      <c r="B172" s="11" t="s">
        <v>1182</v>
      </c>
      <c r="C172" s="18" t="s">
        <v>252</v>
      </c>
      <c r="D172" s="19" t="s">
        <v>204</v>
      </c>
      <c r="E172" s="6" t="s">
        <v>89</v>
      </c>
      <c r="F172" s="11" t="s">
        <v>1439</v>
      </c>
      <c r="G172" s="11"/>
      <c r="H172" s="338" t="s">
        <v>2395</v>
      </c>
      <c r="I172" s="16"/>
      <c r="J172" s="16" t="s">
        <v>11</v>
      </c>
      <c r="K172" s="16"/>
      <c r="L172" s="16" t="s">
        <v>275</v>
      </c>
      <c r="M172" s="360"/>
      <c r="N172" s="361"/>
      <c r="O172" s="362"/>
      <c r="P172" s="351"/>
      <c r="Q172" s="6">
        <v>25</v>
      </c>
      <c r="R172" s="6" t="str">
        <f t="shared" si="32"/>
        <v>SC07871</v>
      </c>
      <c r="S172" s="6" t="str">
        <f t="shared" si="32"/>
        <v>DO07093</v>
      </c>
      <c r="T172" s="227" t="s">
        <v>2277</v>
      </c>
      <c r="U172" s="6" t="s">
        <v>294</v>
      </c>
      <c r="V172" s="320">
        <v>2690</v>
      </c>
      <c r="W172" s="89" t="s">
        <v>581</v>
      </c>
      <c r="X172" s="178" t="s">
        <v>1545</v>
      </c>
      <c r="Y172" s="92" t="s">
        <v>1547</v>
      </c>
      <c r="Z172" s="88">
        <v>2896220</v>
      </c>
      <c r="AA172" s="178" t="s">
        <v>1546</v>
      </c>
      <c r="AB172" s="92" t="s">
        <v>1548</v>
      </c>
      <c r="AC172" s="88">
        <v>2896221</v>
      </c>
      <c r="AD172" s="187">
        <v>4352</v>
      </c>
      <c r="AE172" s="92" t="s">
        <v>583</v>
      </c>
      <c r="AF172" s="168" t="s">
        <v>330</v>
      </c>
      <c r="AG172" s="168" t="s">
        <v>413</v>
      </c>
      <c r="AH172" s="49" t="s">
        <v>270</v>
      </c>
    </row>
    <row r="173" spans="1:34" ht="51" customHeight="1">
      <c r="A173" s="11" t="s">
        <v>268</v>
      </c>
      <c r="B173" s="11" t="s">
        <v>1374</v>
      </c>
      <c r="C173" s="18" t="s">
        <v>253</v>
      </c>
      <c r="D173" s="18" t="s">
        <v>205</v>
      </c>
      <c r="E173" s="6" t="s">
        <v>90</v>
      </c>
      <c r="F173" s="11" t="s">
        <v>1440</v>
      </c>
      <c r="G173" s="11"/>
      <c r="H173" s="338" t="s">
        <v>2396</v>
      </c>
      <c r="I173" s="16"/>
      <c r="J173" s="16" t="s">
        <v>11</v>
      </c>
      <c r="K173" s="16"/>
      <c r="L173" s="16" t="s">
        <v>275</v>
      </c>
      <c r="M173" s="360"/>
      <c r="N173" s="361"/>
      <c r="O173" s="362"/>
      <c r="P173" s="351"/>
      <c r="Q173" s="6">
        <v>24</v>
      </c>
      <c r="R173" s="6" t="str">
        <f t="shared" si="32"/>
        <v>SC07872</v>
      </c>
      <c r="S173" s="6" t="str">
        <f t="shared" si="32"/>
        <v>DO07094</v>
      </c>
      <c r="T173" s="227" t="s">
        <v>2278</v>
      </c>
      <c r="U173" s="6" t="s">
        <v>294</v>
      </c>
      <c r="V173" s="320">
        <v>2690</v>
      </c>
      <c r="W173" s="89" t="s">
        <v>582</v>
      </c>
      <c r="X173" s="178" t="s">
        <v>1549</v>
      </c>
      <c r="Y173" s="92" t="s">
        <v>1551</v>
      </c>
      <c r="Z173" s="88">
        <v>2896222</v>
      </c>
      <c r="AA173" s="178" t="s">
        <v>1550</v>
      </c>
      <c r="AB173" s="92" t="s">
        <v>1552</v>
      </c>
      <c r="AC173" s="88">
        <v>2896223</v>
      </c>
      <c r="AD173" s="187">
        <v>4352</v>
      </c>
      <c r="AE173" s="92" t="s">
        <v>583</v>
      </c>
      <c r="AF173" s="168" t="s">
        <v>330</v>
      </c>
      <c r="AG173" s="168" t="s">
        <v>413</v>
      </c>
      <c r="AH173" s="49" t="s">
        <v>270</v>
      </c>
    </row>
    <row r="174" spans="1:34" s="176" customFormat="1" ht="51" customHeight="1">
      <c r="A174" s="11" t="s">
        <v>268</v>
      </c>
      <c r="B174" s="11" t="s">
        <v>1374</v>
      </c>
      <c r="C174" s="18" t="s">
        <v>254</v>
      </c>
      <c r="D174" s="18" t="s">
        <v>206</v>
      </c>
      <c r="E174" s="6" t="s">
        <v>91</v>
      </c>
      <c r="F174" s="11" t="s">
        <v>1441</v>
      </c>
      <c r="G174" s="11"/>
      <c r="H174" s="338" t="s">
        <v>2397</v>
      </c>
      <c r="I174" s="16"/>
      <c r="J174" s="16" t="s">
        <v>11</v>
      </c>
      <c r="K174" s="16"/>
      <c r="L174" s="16" t="s">
        <v>275</v>
      </c>
      <c r="M174" s="360"/>
      <c r="N174" s="361"/>
      <c r="O174" s="362"/>
      <c r="P174" s="351"/>
      <c r="Q174" s="6">
        <v>28</v>
      </c>
      <c r="R174" s="6" t="str">
        <f t="shared" si="32"/>
        <v>SC07873</v>
      </c>
      <c r="S174" s="6" t="str">
        <f t="shared" si="32"/>
        <v>DO07095</v>
      </c>
      <c r="T174" s="227" t="s">
        <v>2279</v>
      </c>
      <c r="U174" s="6" t="s">
        <v>294</v>
      </c>
      <c r="V174" s="320">
        <v>2690</v>
      </c>
      <c r="W174" s="89" t="s">
        <v>582</v>
      </c>
      <c r="X174" s="178" t="s">
        <v>1553</v>
      </c>
      <c r="Y174" s="92" t="s">
        <v>1555</v>
      </c>
      <c r="Z174" s="88">
        <v>2896224</v>
      </c>
      <c r="AA174" s="178" t="s">
        <v>1554</v>
      </c>
      <c r="AB174" s="92" t="s">
        <v>1556</v>
      </c>
      <c r="AC174" s="88">
        <v>2896225</v>
      </c>
      <c r="AD174" s="187">
        <v>4352</v>
      </c>
      <c r="AE174" s="92" t="s">
        <v>583</v>
      </c>
      <c r="AF174" s="168" t="s">
        <v>330</v>
      </c>
      <c r="AG174" s="168" t="s">
        <v>413</v>
      </c>
      <c r="AH174" s="49" t="s">
        <v>270</v>
      </c>
    </row>
    <row r="175" spans="1:34" ht="51" customHeight="1">
      <c r="A175" s="11" t="s">
        <v>268</v>
      </c>
      <c r="B175" s="11" t="s">
        <v>1374</v>
      </c>
      <c r="C175" s="18" t="s">
        <v>255</v>
      </c>
      <c r="D175" s="18" t="s">
        <v>207</v>
      </c>
      <c r="E175" s="6" t="s">
        <v>92</v>
      </c>
      <c r="F175" s="11" t="s">
        <v>1442</v>
      </c>
      <c r="G175" s="11"/>
      <c r="H175" s="338" t="s">
        <v>2399</v>
      </c>
      <c r="I175" s="16"/>
      <c r="J175" s="16" t="s">
        <v>11</v>
      </c>
      <c r="K175" s="16"/>
      <c r="L175" s="16" t="s">
        <v>275</v>
      </c>
      <c r="M175" s="360"/>
      <c r="N175" s="361"/>
      <c r="O175" s="362"/>
      <c r="P175" s="351"/>
      <c r="Q175" s="6">
        <v>19</v>
      </c>
      <c r="R175" s="6" t="str">
        <f t="shared" si="32"/>
        <v>SC07874</v>
      </c>
      <c r="S175" s="6" t="str">
        <f t="shared" si="32"/>
        <v>DO07096</v>
      </c>
      <c r="T175" s="227" t="s">
        <v>2280</v>
      </c>
      <c r="U175" s="6" t="s">
        <v>294</v>
      </c>
      <c r="V175" s="320">
        <v>2690</v>
      </c>
      <c r="W175" s="89" t="s">
        <v>582</v>
      </c>
      <c r="X175" s="178" t="s">
        <v>1557</v>
      </c>
      <c r="Y175" s="92" t="s">
        <v>1559</v>
      </c>
      <c r="Z175" s="88">
        <v>2896226</v>
      </c>
      <c r="AA175" s="178" t="s">
        <v>1558</v>
      </c>
      <c r="AB175" s="92" t="s">
        <v>1560</v>
      </c>
      <c r="AC175" s="88">
        <v>2896227</v>
      </c>
      <c r="AD175" s="187">
        <v>4352</v>
      </c>
      <c r="AE175" s="92" t="s">
        <v>583</v>
      </c>
      <c r="AF175" s="168" t="s">
        <v>330</v>
      </c>
      <c r="AG175" s="168" t="s">
        <v>413</v>
      </c>
      <c r="AH175" s="49" t="s">
        <v>270</v>
      </c>
    </row>
    <row r="176" spans="1:34" s="176" customFormat="1" ht="51" customHeight="1">
      <c r="A176" s="11" t="s">
        <v>268</v>
      </c>
      <c r="B176" s="11" t="s">
        <v>1374</v>
      </c>
      <c r="C176" s="18" t="s">
        <v>256</v>
      </c>
      <c r="D176" s="18" t="s">
        <v>208</v>
      </c>
      <c r="E176" s="6" t="s">
        <v>93</v>
      </c>
      <c r="F176" s="11" t="s">
        <v>1443</v>
      </c>
      <c r="G176" s="11"/>
      <c r="H176" s="338" t="s">
        <v>2398</v>
      </c>
      <c r="I176" s="16"/>
      <c r="J176" s="16" t="s">
        <v>11</v>
      </c>
      <c r="K176" s="16"/>
      <c r="L176" s="16" t="s">
        <v>275</v>
      </c>
      <c r="M176" s="360"/>
      <c r="N176" s="361"/>
      <c r="O176" s="362"/>
      <c r="P176" s="351"/>
      <c r="Q176" s="6">
        <v>26</v>
      </c>
      <c r="R176" s="6" t="str">
        <f t="shared" si="32"/>
        <v>SC07875</v>
      </c>
      <c r="S176" s="6" t="str">
        <f t="shared" si="32"/>
        <v>DO07097</v>
      </c>
      <c r="T176" s="227" t="s">
        <v>2281</v>
      </c>
      <c r="U176" s="6" t="s">
        <v>294</v>
      </c>
      <c r="V176" s="320">
        <v>2690</v>
      </c>
      <c r="W176" s="89" t="s">
        <v>582</v>
      </c>
      <c r="X176" s="178" t="s">
        <v>1561</v>
      </c>
      <c r="Y176" s="92" t="s">
        <v>1563</v>
      </c>
      <c r="Z176" s="88">
        <v>2896228</v>
      </c>
      <c r="AA176" s="178" t="s">
        <v>1562</v>
      </c>
      <c r="AB176" s="92" t="s">
        <v>1564</v>
      </c>
      <c r="AC176" s="88">
        <v>2896229</v>
      </c>
      <c r="AD176" s="187">
        <v>4352</v>
      </c>
      <c r="AE176" s="92" t="s">
        <v>583</v>
      </c>
      <c r="AF176" s="168" t="s">
        <v>330</v>
      </c>
      <c r="AG176" s="168" t="s">
        <v>413</v>
      </c>
      <c r="AH176" s="49" t="s">
        <v>270</v>
      </c>
    </row>
    <row r="177" spans="1:34" ht="25.5" customHeight="1">
      <c r="A177" s="177" t="s">
        <v>268</v>
      </c>
      <c r="B177" s="11" t="s">
        <v>1374</v>
      </c>
      <c r="C177" s="168" t="s">
        <v>294</v>
      </c>
      <c r="D177" s="168" t="s">
        <v>294</v>
      </c>
      <c r="E177" s="177" t="s">
        <v>602</v>
      </c>
      <c r="F177" s="177" t="s">
        <v>1617</v>
      </c>
      <c r="G177" s="177"/>
      <c r="H177" s="339" t="s">
        <v>299</v>
      </c>
      <c r="I177" s="16"/>
      <c r="J177" s="178" t="s">
        <v>296</v>
      </c>
      <c r="K177" s="178"/>
      <c r="L177" s="178" t="s">
        <v>277</v>
      </c>
      <c r="M177" s="168"/>
      <c r="N177" s="168"/>
      <c r="O177" s="187"/>
      <c r="P177" s="168"/>
      <c r="Q177" s="177" t="s">
        <v>300</v>
      </c>
      <c r="R177" s="177" t="str">
        <f t="shared" si="32"/>
        <v>-</v>
      </c>
      <c r="S177" s="177" t="str">
        <f t="shared" si="32"/>
        <v>-</v>
      </c>
      <c r="T177" s="88"/>
      <c r="U177" s="177" t="s">
        <v>294</v>
      </c>
      <c r="V177" s="187">
        <v>2652</v>
      </c>
      <c r="W177" s="178"/>
      <c r="X177" s="177" t="str">
        <f t="shared" ref="X177:X214" si="33">LEFT(F177,7)</f>
        <v>PJ07904</v>
      </c>
      <c r="Y177" s="92" t="s">
        <v>2181</v>
      </c>
      <c r="Z177" s="88">
        <v>2896288</v>
      </c>
      <c r="AA177" s="178" t="str">
        <f t="shared" ref="AA177:AA208" si="34">IF(AG177="VEE", RIGHT(F177,7),"n/a")</f>
        <v>PJ07905</v>
      </c>
      <c r="AB177" s="92" t="s">
        <v>595</v>
      </c>
      <c r="AC177" s="88">
        <v>2896289</v>
      </c>
      <c r="AD177" s="187">
        <v>4225</v>
      </c>
      <c r="AE177" s="92">
        <v>4954431</v>
      </c>
      <c r="AF177" s="168" t="s">
        <v>330</v>
      </c>
      <c r="AG177" s="168" t="s">
        <v>413</v>
      </c>
      <c r="AH177" s="49" t="s">
        <v>2075</v>
      </c>
    </row>
    <row r="178" spans="1:34" s="72" customFormat="1" ht="25.5" customHeight="1">
      <c r="A178" s="16" t="s">
        <v>268</v>
      </c>
      <c r="B178" s="16" t="s">
        <v>1374</v>
      </c>
      <c r="C178" s="19" t="s">
        <v>133</v>
      </c>
      <c r="D178" s="19" t="s">
        <v>556</v>
      </c>
      <c r="E178" s="17" t="s">
        <v>150</v>
      </c>
      <c r="F178" s="16" t="s">
        <v>1614</v>
      </c>
      <c r="G178" s="11"/>
      <c r="H178" s="338" t="s">
        <v>2397</v>
      </c>
      <c r="I178" s="16" t="s">
        <v>539</v>
      </c>
      <c r="J178" s="16" t="s">
        <v>103</v>
      </c>
      <c r="K178" s="74"/>
      <c r="L178" s="16" t="s">
        <v>277</v>
      </c>
      <c r="M178" s="74"/>
      <c r="N178" s="74"/>
      <c r="O178" s="74"/>
      <c r="P178" s="74"/>
      <c r="Q178" s="17">
        <v>28</v>
      </c>
      <c r="R178" s="16" t="str">
        <f t="shared" si="32"/>
        <v>SC07827</v>
      </c>
      <c r="S178" s="19" t="s">
        <v>556</v>
      </c>
      <c r="T178" s="17" t="s">
        <v>2048</v>
      </c>
      <c r="U178" s="88">
        <v>4309827</v>
      </c>
      <c r="V178" s="187">
        <v>2652</v>
      </c>
      <c r="W178" s="228" t="s">
        <v>1164</v>
      </c>
      <c r="X178" s="178" t="str">
        <f t="shared" si="33"/>
        <v>PJ07721</v>
      </c>
      <c r="Y178" s="228" t="s">
        <v>1849</v>
      </c>
      <c r="Z178" s="88" t="s">
        <v>294</v>
      </c>
      <c r="AA178" s="178" t="str">
        <f t="shared" si="34"/>
        <v>PJ07722</v>
      </c>
      <c r="AB178" s="228" t="s">
        <v>1850</v>
      </c>
      <c r="AC178" s="88" t="s">
        <v>294</v>
      </c>
      <c r="AD178" s="187">
        <v>4225</v>
      </c>
      <c r="AE178" s="228">
        <v>3607754</v>
      </c>
      <c r="AF178" s="88" t="s">
        <v>330</v>
      </c>
      <c r="AG178" s="88" t="s">
        <v>413</v>
      </c>
      <c r="AH178" s="49" t="s">
        <v>2076</v>
      </c>
    </row>
    <row r="179" spans="1:34" ht="38.25" customHeight="1">
      <c r="A179" s="16" t="s">
        <v>268</v>
      </c>
      <c r="B179" s="16" t="s">
        <v>1374</v>
      </c>
      <c r="C179" s="19" t="s">
        <v>132</v>
      </c>
      <c r="D179" s="17" t="s">
        <v>556</v>
      </c>
      <c r="E179" s="17" t="s">
        <v>149</v>
      </c>
      <c r="F179" s="16" t="s">
        <v>1613</v>
      </c>
      <c r="G179" s="16"/>
      <c r="H179" s="338" t="s">
        <v>2396</v>
      </c>
      <c r="I179" s="16" t="s">
        <v>539</v>
      </c>
      <c r="J179" s="16" t="s">
        <v>103</v>
      </c>
      <c r="K179" s="17"/>
      <c r="L179" s="17" t="s">
        <v>277</v>
      </c>
      <c r="M179" s="17"/>
      <c r="N179" s="17"/>
      <c r="O179" s="88"/>
      <c r="P179" s="88"/>
      <c r="Q179" s="88">
        <v>24</v>
      </c>
      <c r="R179" s="16" t="str">
        <f t="shared" si="32"/>
        <v>SC07826</v>
      </c>
      <c r="S179" s="17" t="s">
        <v>556</v>
      </c>
      <c r="T179" s="88" t="s">
        <v>1578</v>
      </c>
      <c r="U179" s="88">
        <v>4309828</v>
      </c>
      <c r="V179" s="187">
        <v>2652</v>
      </c>
      <c r="W179" s="228" t="s">
        <v>1164</v>
      </c>
      <c r="X179" s="178" t="str">
        <f t="shared" si="33"/>
        <v>PJ07719</v>
      </c>
      <c r="Y179" s="228" t="s">
        <v>1847</v>
      </c>
      <c r="Z179" s="88" t="s">
        <v>294</v>
      </c>
      <c r="AA179" s="178" t="str">
        <f t="shared" si="34"/>
        <v>PJ07720</v>
      </c>
      <c r="AB179" s="228" t="s">
        <v>1848</v>
      </c>
      <c r="AC179" s="88" t="s">
        <v>294</v>
      </c>
      <c r="AD179" s="187">
        <v>4225</v>
      </c>
      <c r="AE179" s="228">
        <v>3607754</v>
      </c>
      <c r="AF179" s="88" t="s">
        <v>330</v>
      </c>
      <c r="AG179" s="88" t="s">
        <v>413</v>
      </c>
      <c r="AH179" s="49" t="s">
        <v>2077</v>
      </c>
    </row>
    <row r="180" spans="1:34" s="72" customFormat="1" ht="38.25" customHeight="1">
      <c r="A180" s="16" t="s">
        <v>268</v>
      </c>
      <c r="B180" s="16" t="s">
        <v>1182</v>
      </c>
      <c r="C180" s="19" t="s">
        <v>119</v>
      </c>
      <c r="D180" s="19" t="s">
        <v>557</v>
      </c>
      <c r="E180" s="17" t="s">
        <v>136</v>
      </c>
      <c r="F180" s="16" t="s">
        <v>1180</v>
      </c>
      <c r="G180" s="16"/>
      <c r="H180" s="340" t="s">
        <v>2405</v>
      </c>
      <c r="I180" s="16" t="s">
        <v>539</v>
      </c>
      <c r="J180" s="16" t="s">
        <v>103</v>
      </c>
      <c r="K180" s="16"/>
      <c r="L180" s="16" t="s">
        <v>277</v>
      </c>
      <c r="M180" s="16"/>
      <c r="N180" s="16"/>
      <c r="O180" s="16"/>
      <c r="P180" s="16"/>
      <c r="Q180" s="17">
        <v>21</v>
      </c>
      <c r="R180" s="16" t="str">
        <f t="shared" si="32"/>
        <v>SC07781</v>
      </c>
      <c r="S180" s="19" t="s">
        <v>557</v>
      </c>
      <c r="T180" s="17" t="s">
        <v>2215</v>
      </c>
      <c r="U180" s="17">
        <v>4309829</v>
      </c>
      <c r="V180" s="187">
        <v>2652</v>
      </c>
      <c r="W180" s="228" t="s">
        <v>1164</v>
      </c>
      <c r="X180" s="178" t="str">
        <f t="shared" si="33"/>
        <v>PJ07740</v>
      </c>
      <c r="Y180" s="228" t="s">
        <v>2373</v>
      </c>
      <c r="Z180" s="88">
        <v>2896133</v>
      </c>
      <c r="AA180" s="178" t="str">
        <f t="shared" si="34"/>
        <v>PJ07741</v>
      </c>
      <c r="AB180" s="228" t="s">
        <v>1853</v>
      </c>
      <c r="AC180" s="88">
        <v>2896134</v>
      </c>
      <c r="AD180" s="187">
        <v>4225</v>
      </c>
      <c r="AE180" s="228" t="s">
        <v>583</v>
      </c>
      <c r="AF180" s="88" t="s">
        <v>330</v>
      </c>
      <c r="AG180" s="88" t="s">
        <v>413</v>
      </c>
      <c r="AH180" s="49" t="s">
        <v>2078</v>
      </c>
    </row>
    <row r="181" spans="1:34" ht="63.75" customHeight="1">
      <c r="A181" s="16" t="s">
        <v>268</v>
      </c>
      <c r="B181" s="16" t="s">
        <v>1182</v>
      </c>
      <c r="C181" s="19" t="s">
        <v>122</v>
      </c>
      <c r="D181" s="19" t="s">
        <v>557</v>
      </c>
      <c r="E181" s="17" t="s">
        <v>139</v>
      </c>
      <c r="F181" s="16" t="s">
        <v>1605</v>
      </c>
      <c r="G181" s="16"/>
      <c r="H181" s="340" t="s">
        <v>2402</v>
      </c>
      <c r="I181" s="16" t="s">
        <v>539</v>
      </c>
      <c r="J181" s="16" t="s">
        <v>103</v>
      </c>
      <c r="K181" s="16"/>
      <c r="L181" s="16" t="s">
        <v>277</v>
      </c>
      <c r="M181" s="16"/>
      <c r="N181" s="16"/>
      <c r="O181" s="16"/>
      <c r="P181" s="16"/>
      <c r="Q181" s="17">
        <v>16</v>
      </c>
      <c r="R181" s="16" t="str">
        <f t="shared" si="32"/>
        <v>SC07786</v>
      </c>
      <c r="S181" s="19" t="s">
        <v>557</v>
      </c>
      <c r="T181" s="17" t="s">
        <v>2223</v>
      </c>
      <c r="U181" s="17">
        <v>4309830</v>
      </c>
      <c r="V181" s="187">
        <v>2652</v>
      </c>
      <c r="W181" s="228" t="s">
        <v>1164</v>
      </c>
      <c r="X181" s="178" t="str">
        <f t="shared" si="33"/>
        <v>PJ07746</v>
      </c>
      <c r="Y181" s="228" t="s">
        <v>2374</v>
      </c>
      <c r="Z181" s="88">
        <v>2896139</v>
      </c>
      <c r="AA181" s="178" t="str">
        <f t="shared" si="34"/>
        <v>PJ07747</v>
      </c>
      <c r="AB181" s="228" t="s">
        <v>590</v>
      </c>
      <c r="AC181" s="88">
        <v>2896140</v>
      </c>
      <c r="AD181" s="187">
        <v>4225</v>
      </c>
      <c r="AE181" s="228" t="s">
        <v>583</v>
      </c>
      <c r="AF181" s="88" t="s">
        <v>330</v>
      </c>
      <c r="AG181" s="88" t="s">
        <v>413</v>
      </c>
      <c r="AH181" s="49" t="s">
        <v>2079</v>
      </c>
    </row>
    <row r="182" spans="1:34" s="72" customFormat="1" ht="63.75" customHeight="1">
      <c r="A182" s="16" t="s">
        <v>268</v>
      </c>
      <c r="B182" s="16" t="s">
        <v>1182</v>
      </c>
      <c r="C182" s="16" t="s">
        <v>540</v>
      </c>
      <c r="D182" s="16" t="s">
        <v>561</v>
      </c>
      <c r="E182" s="178" t="s">
        <v>142</v>
      </c>
      <c r="F182" s="16" t="s">
        <v>1608</v>
      </c>
      <c r="G182" s="16"/>
      <c r="H182" s="338" t="s">
        <v>2389</v>
      </c>
      <c r="I182" s="16" t="s">
        <v>539</v>
      </c>
      <c r="J182" s="16" t="s">
        <v>103</v>
      </c>
      <c r="K182" s="16"/>
      <c r="L182" s="16" t="s">
        <v>277</v>
      </c>
      <c r="M182" s="16"/>
      <c r="N182" s="16"/>
      <c r="O182" s="16"/>
      <c r="P182" s="16"/>
      <c r="Q182" s="17">
        <v>27</v>
      </c>
      <c r="R182" s="16" t="str">
        <f t="shared" si="32"/>
        <v>SC07784</v>
      </c>
      <c r="S182" s="16" t="s">
        <v>561</v>
      </c>
      <c r="T182" s="17" t="s">
        <v>2031</v>
      </c>
      <c r="U182" s="17">
        <v>2873652</v>
      </c>
      <c r="V182" s="187">
        <v>2652</v>
      </c>
      <c r="W182" s="228" t="s">
        <v>1164</v>
      </c>
      <c r="X182" s="178" t="str">
        <f t="shared" si="33"/>
        <v>PJ07742</v>
      </c>
      <c r="Y182" s="228" t="s">
        <v>1854</v>
      </c>
      <c r="Z182" s="88">
        <v>2896135</v>
      </c>
      <c r="AA182" s="178" t="str">
        <f t="shared" si="34"/>
        <v>PJ07743</v>
      </c>
      <c r="AB182" s="228" t="s">
        <v>1855</v>
      </c>
      <c r="AC182" s="88">
        <v>2896136</v>
      </c>
      <c r="AD182" s="187">
        <v>4225</v>
      </c>
      <c r="AE182" s="228" t="s">
        <v>583</v>
      </c>
      <c r="AF182" s="88" t="s">
        <v>330</v>
      </c>
      <c r="AG182" s="88" t="s">
        <v>413</v>
      </c>
      <c r="AH182" s="49" t="s">
        <v>2080</v>
      </c>
    </row>
    <row r="183" spans="1:34" s="72" customFormat="1" ht="63.75" customHeight="1">
      <c r="A183" s="16" t="s">
        <v>268</v>
      </c>
      <c r="B183" s="16" t="s">
        <v>1182</v>
      </c>
      <c r="C183" s="19" t="s">
        <v>541</v>
      </c>
      <c r="D183" s="19" t="s">
        <v>560</v>
      </c>
      <c r="E183" s="88" t="s">
        <v>137</v>
      </c>
      <c r="F183" s="16" t="s">
        <v>1603</v>
      </c>
      <c r="G183" s="16"/>
      <c r="H183" s="340" t="s">
        <v>2406</v>
      </c>
      <c r="I183" s="16" t="s">
        <v>539</v>
      </c>
      <c r="J183" s="16" t="s">
        <v>103</v>
      </c>
      <c r="K183" s="16"/>
      <c r="L183" s="16" t="s">
        <v>277</v>
      </c>
      <c r="M183" s="16"/>
      <c r="N183" s="16"/>
      <c r="O183" s="16"/>
      <c r="P183" s="16"/>
      <c r="Q183" s="17">
        <v>23</v>
      </c>
      <c r="R183" s="16" t="str">
        <f t="shared" si="32"/>
        <v>SC07783</v>
      </c>
      <c r="S183" s="19" t="s">
        <v>560</v>
      </c>
      <c r="T183" s="17" t="s">
        <v>2220</v>
      </c>
      <c r="U183" s="17">
        <v>2873651</v>
      </c>
      <c r="V183" s="187">
        <v>2652</v>
      </c>
      <c r="W183" s="228" t="s">
        <v>1164</v>
      </c>
      <c r="X183" s="178" t="str">
        <f t="shared" si="33"/>
        <v>PJ07801</v>
      </c>
      <c r="Y183" s="228" t="s">
        <v>2376</v>
      </c>
      <c r="Z183" s="88">
        <v>2896145</v>
      </c>
      <c r="AA183" s="178" t="str">
        <f t="shared" si="34"/>
        <v>PJ07802</v>
      </c>
      <c r="AB183" s="228" t="s">
        <v>1884</v>
      </c>
      <c r="AC183" s="88">
        <v>2896146</v>
      </c>
      <c r="AD183" s="187">
        <v>4225</v>
      </c>
      <c r="AE183" s="228" t="s">
        <v>583</v>
      </c>
      <c r="AF183" s="88" t="s">
        <v>330</v>
      </c>
      <c r="AG183" s="88" t="s">
        <v>413</v>
      </c>
      <c r="AH183" s="49" t="s">
        <v>2081</v>
      </c>
    </row>
    <row r="184" spans="1:34" s="72" customFormat="1" ht="63.75" customHeight="1">
      <c r="A184" s="178" t="s">
        <v>268</v>
      </c>
      <c r="B184" s="16" t="s">
        <v>1182</v>
      </c>
      <c r="C184" s="229" t="s">
        <v>120</v>
      </c>
      <c r="D184" s="19" t="s">
        <v>557</v>
      </c>
      <c r="E184" s="88" t="s">
        <v>137</v>
      </c>
      <c r="F184" s="16" t="s">
        <v>1603</v>
      </c>
      <c r="G184" s="16"/>
      <c r="H184" s="340" t="s">
        <v>2406</v>
      </c>
      <c r="I184" s="16" t="s">
        <v>539</v>
      </c>
      <c r="J184" s="16" t="s">
        <v>103</v>
      </c>
      <c r="K184" s="16"/>
      <c r="L184" s="16" t="s">
        <v>277</v>
      </c>
      <c r="M184" s="16"/>
      <c r="N184" s="16"/>
      <c r="O184" s="16"/>
      <c r="P184" s="16"/>
      <c r="Q184" s="17">
        <v>23</v>
      </c>
      <c r="R184" s="16" t="str">
        <f t="shared" si="32"/>
        <v>SC07782</v>
      </c>
      <c r="S184" s="19" t="s">
        <v>557</v>
      </c>
      <c r="T184" s="17" t="s">
        <v>2217</v>
      </c>
      <c r="U184" s="17">
        <v>4309833</v>
      </c>
      <c r="V184" s="187">
        <v>2652</v>
      </c>
      <c r="W184" s="228" t="s">
        <v>1164</v>
      </c>
      <c r="X184" s="178" t="str">
        <f t="shared" si="33"/>
        <v>PJ07801</v>
      </c>
      <c r="Y184" s="228" t="s">
        <v>2376</v>
      </c>
      <c r="Z184" s="88">
        <v>2896145</v>
      </c>
      <c r="AA184" s="178" t="str">
        <f t="shared" si="34"/>
        <v>PJ07802</v>
      </c>
      <c r="AB184" s="228" t="s">
        <v>1884</v>
      </c>
      <c r="AC184" s="88">
        <v>2896146</v>
      </c>
      <c r="AD184" s="187">
        <v>4225</v>
      </c>
      <c r="AE184" s="228" t="s">
        <v>583</v>
      </c>
      <c r="AF184" s="88" t="s">
        <v>330</v>
      </c>
      <c r="AG184" s="88" t="s">
        <v>413</v>
      </c>
      <c r="AH184" s="49" t="s">
        <v>2082</v>
      </c>
    </row>
    <row r="185" spans="1:34" s="72" customFormat="1" ht="63.75" customHeight="1">
      <c r="A185" s="16" t="s">
        <v>268</v>
      </c>
      <c r="B185" s="16" t="s">
        <v>1182</v>
      </c>
      <c r="C185" s="19" t="s">
        <v>121</v>
      </c>
      <c r="D185" s="19" t="s">
        <v>557</v>
      </c>
      <c r="E185" s="17" t="s">
        <v>138</v>
      </c>
      <c r="F185" s="16" t="s">
        <v>1604</v>
      </c>
      <c r="G185" s="16"/>
      <c r="H185" s="340" t="s">
        <v>2403</v>
      </c>
      <c r="I185" s="16" t="s">
        <v>539</v>
      </c>
      <c r="J185" s="16" t="s">
        <v>103</v>
      </c>
      <c r="K185" s="16"/>
      <c r="L185" s="16" t="s">
        <v>277</v>
      </c>
      <c r="M185" s="16"/>
      <c r="N185" s="16"/>
      <c r="O185" s="16"/>
      <c r="P185" s="16"/>
      <c r="Q185" s="17">
        <v>17</v>
      </c>
      <c r="R185" s="16" t="str">
        <f t="shared" si="32"/>
        <v>SC07785</v>
      </c>
      <c r="S185" s="257" t="str">
        <f t="shared" si="32"/>
        <v>DO07016</v>
      </c>
      <c r="T185" s="17" t="s">
        <v>2221</v>
      </c>
      <c r="U185" s="17">
        <v>4309834</v>
      </c>
      <c r="V185" s="187">
        <v>2652</v>
      </c>
      <c r="W185" s="228" t="s">
        <v>1164</v>
      </c>
      <c r="X185" s="178" t="str">
        <f t="shared" si="33"/>
        <v>PJ07744</v>
      </c>
      <c r="Y185" s="228" t="s">
        <v>588</v>
      </c>
      <c r="Z185" s="88">
        <v>2896137</v>
      </c>
      <c r="AA185" s="178" t="str">
        <f t="shared" si="34"/>
        <v>PJ07745</v>
      </c>
      <c r="AB185" s="228" t="s">
        <v>589</v>
      </c>
      <c r="AC185" s="88">
        <v>2896138</v>
      </c>
      <c r="AD185" s="187">
        <v>4225</v>
      </c>
      <c r="AE185" s="228" t="s">
        <v>583</v>
      </c>
      <c r="AF185" s="88" t="s">
        <v>330</v>
      </c>
      <c r="AG185" s="88" t="s">
        <v>413</v>
      </c>
      <c r="AH185" s="49" t="s">
        <v>2083</v>
      </c>
    </row>
    <row r="186" spans="1:34" ht="63.75" customHeight="1">
      <c r="A186" s="16" t="s">
        <v>268</v>
      </c>
      <c r="B186" s="16" t="s">
        <v>1182</v>
      </c>
      <c r="C186" s="19" t="s">
        <v>124</v>
      </c>
      <c r="D186" s="19" t="s">
        <v>557</v>
      </c>
      <c r="E186" s="17" t="s">
        <v>141</v>
      </c>
      <c r="F186" s="16" t="s">
        <v>1607</v>
      </c>
      <c r="G186" s="16"/>
      <c r="H186" s="340" t="s">
        <v>2404</v>
      </c>
      <c r="I186" s="16" t="s">
        <v>539</v>
      </c>
      <c r="J186" s="16" t="s">
        <v>103</v>
      </c>
      <c r="K186" s="16"/>
      <c r="L186" s="16" t="s">
        <v>277</v>
      </c>
      <c r="M186" s="16"/>
      <c r="N186" s="16"/>
      <c r="O186" s="16"/>
      <c r="P186" s="16"/>
      <c r="Q186" s="17">
        <v>18</v>
      </c>
      <c r="R186" s="16" t="str">
        <f t="shared" si="32"/>
        <v>SC07788</v>
      </c>
      <c r="S186" s="19" t="s">
        <v>557</v>
      </c>
      <c r="T186" s="17" t="s">
        <v>2227</v>
      </c>
      <c r="U186" s="17">
        <v>4309835</v>
      </c>
      <c r="V186" s="187">
        <v>2652</v>
      </c>
      <c r="W186" s="228" t="s">
        <v>1164</v>
      </c>
      <c r="X186" s="178" t="str">
        <f t="shared" si="33"/>
        <v>PJ07809</v>
      </c>
      <c r="Y186" s="228" t="s">
        <v>2378</v>
      </c>
      <c r="Z186" s="88">
        <v>2896149</v>
      </c>
      <c r="AA186" s="178" t="str">
        <f t="shared" si="34"/>
        <v>PJ07810</v>
      </c>
      <c r="AB186" s="228" t="s">
        <v>592</v>
      </c>
      <c r="AC186" s="88">
        <v>2896150</v>
      </c>
      <c r="AD186" s="187">
        <v>4225</v>
      </c>
      <c r="AE186" s="228" t="s">
        <v>583</v>
      </c>
      <c r="AF186" s="88" t="s">
        <v>330</v>
      </c>
      <c r="AG186" s="88" t="s">
        <v>413</v>
      </c>
      <c r="AH186" s="49" t="s">
        <v>2084</v>
      </c>
    </row>
    <row r="187" spans="1:34" s="72" customFormat="1" ht="25.5" customHeight="1">
      <c r="A187" s="16" t="s">
        <v>268</v>
      </c>
      <c r="B187" s="16" t="s">
        <v>1182</v>
      </c>
      <c r="C187" s="19" t="s">
        <v>123</v>
      </c>
      <c r="D187" s="19" t="s">
        <v>557</v>
      </c>
      <c r="E187" s="17" t="s">
        <v>140</v>
      </c>
      <c r="F187" s="16" t="s">
        <v>1606</v>
      </c>
      <c r="G187" s="16"/>
      <c r="H187" s="340" t="s">
        <v>2400</v>
      </c>
      <c r="I187" s="16"/>
      <c r="J187" s="16" t="s">
        <v>103</v>
      </c>
      <c r="K187" s="16"/>
      <c r="L187" s="16" t="s">
        <v>277</v>
      </c>
      <c r="M187" s="16"/>
      <c r="N187" s="16"/>
      <c r="O187" s="16"/>
      <c r="P187" s="16"/>
      <c r="Q187" s="17">
        <v>14</v>
      </c>
      <c r="R187" s="16" t="str">
        <f t="shared" si="32"/>
        <v>SC07787</v>
      </c>
      <c r="S187" s="19" t="s">
        <v>557</v>
      </c>
      <c r="T187" s="17" t="s">
        <v>2225</v>
      </c>
      <c r="U187" s="17">
        <v>4309836</v>
      </c>
      <c r="V187" s="187">
        <v>2652</v>
      </c>
      <c r="W187" s="228" t="s">
        <v>1164</v>
      </c>
      <c r="X187" s="178" t="str">
        <f t="shared" si="33"/>
        <v>PJ07807</v>
      </c>
      <c r="Y187" s="228" t="s">
        <v>2377</v>
      </c>
      <c r="Z187" s="88">
        <v>2896147</v>
      </c>
      <c r="AA187" s="178" t="str">
        <f t="shared" si="34"/>
        <v>PJ07808</v>
      </c>
      <c r="AB187" s="228" t="s">
        <v>591</v>
      </c>
      <c r="AC187" s="88">
        <v>2896148</v>
      </c>
      <c r="AD187" s="187">
        <v>4225</v>
      </c>
      <c r="AE187" s="228" t="s">
        <v>583</v>
      </c>
      <c r="AF187" s="88" t="s">
        <v>330</v>
      </c>
      <c r="AG187" s="88" t="s">
        <v>413</v>
      </c>
      <c r="AH187" s="49" t="s">
        <v>2085</v>
      </c>
    </row>
    <row r="188" spans="1:34" s="72" customFormat="1" ht="51" customHeight="1">
      <c r="A188" s="16" t="s">
        <v>268</v>
      </c>
      <c r="B188" s="16" t="s">
        <v>1182</v>
      </c>
      <c r="C188" s="19" t="s">
        <v>542</v>
      </c>
      <c r="D188" s="19" t="s">
        <v>557</v>
      </c>
      <c r="E188" s="17" t="s">
        <v>575</v>
      </c>
      <c r="F188" s="178" t="s">
        <v>1624</v>
      </c>
      <c r="G188" s="16"/>
      <c r="H188" s="340" t="s">
        <v>1326</v>
      </c>
      <c r="I188" s="16" t="s">
        <v>539</v>
      </c>
      <c r="J188" s="337" t="s">
        <v>2415</v>
      </c>
      <c r="K188" s="16"/>
      <c r="L188" s="16" t="s">
        <v>277</v>
      </c>
      <c r="M188" s="16"/>
      <c r="N188" s="16"/>
      <c r="O188" s="16"/>
      <c r="P188" s="16"/>
      <c r="Q188" s="17">
        <v>61</v>
      </c>
      <c r="R188" s="16" t="str">
        <f t="shared" si="32"/>
        <v>SC07800</v>
      </c>
      <c r="S188" s="19" t="s">
        <v>557</v>
      </c>
      <c r="T188" s="17" t="s">
        <v>2043</v>
      </c>
      <c r="U188" s="17">
        <v>4309837</v>
      </c>
      <c r="V188" s="187">
        <v>2652</v>
      </c>
      <c r="W188" s="228" t="s">
        <v>1164</v>
      </c>
      <c r="X188" s="178" t="str">
        <f t="shared" si="33"/>
        <v>PJ07750</v>
      </c>
      <c r="Y188" s="178" t="s">
        <v>1856</v>
      </c>
      <c r="Z188" s="88" t="s">
        <v>294</v>
      </c>
      <c r="AA188" s="178" t="str">
        <f t="shared" si="34"/>
        <v>PJ07751</v>
      </c>
      <c r="AB188" s="178" t="s">
        <v>1857</v>
      </c>
      <c r="AC188" s="88" t="s">
        <v>294</v>
      </c>
      <c r="AD188" s="187">
        <v>4225</v>
      </c>
      <c r="AE188" s="228" t="s">
        <v>583</v>
      </c>
      <c r="AF188" s="88" t="s">
        <v>330</v>
      </c>
      <c r="AG188" s="88" t="s">
        <v>413</v>
      </c>
      <c r="AH188" s="49" t="s">
        <v>2086</v>
      </c>
    </row>
    <row r="189" spans="1:34" s="72" customFormat="1" ht="63.75" customHeight="1">
      <c r="A189" s="16" t="s">
        <v>268</v>
      </c>
      <c r="B189" s="16" t="s">
        <v>1182</v>
      </c>
      <c r="C189" s="19" t="s">
        <v>543</v>
      </c>
      <c r="D189" s="19" t="s">
        <v>574</v>
      </c>
      <c r="E189" s="88" t="s">
        <v>145</v>
      </c>
      <c r="F189" s="16" t="s">
        <v>1610</v>
      </c>
      <c r="G189" s="16"/>
      <c r="H189" s="338" t="s">
        <v>2392</v>
      </c>
      <c r="I189" s="16"/>
      <c r="J189" s="16" t="s">
        <v>103</v>
      </c>
      <c r="K189" s="16"/>
      <c r="L189" s="16" t="s">
        <v>277</v>
      </c>
      <c r="M189" s="16"/>
      <c r="N189" s="16"/>
      <c r="O189" s="16"/>
      <c r="P189" s="16"/>
      <c r="Q189" s="17">
        <v>13</v>
      </c>
      <c r="R189" s="16" t="str">
        <f t="shared" si="32"/>
        <v>SC07799</v>
      </c>
      <c r="S189" s="19" t="s">
        <v>574</v>
      </c>
      <c r="T189" s="17" t="s">
        <v>2042</v>
      </c>
      <c r="U189" s="17">
        <v>2893658</v>
      </c>
      <c r="V189" s="187">
        <v>2652</v>
      </c>
      <c r="W189" s="230" t="s">
        <v>581</v>
      </c>
      <c r="X189" s="178" t="str">
        <f t="shared" si="33"/>
        <v>PJ07811</v>
      </c>
      <c r="Y189" s="228" t="s">
        <v>1887</v>
      </c>
      <c r="Z189" s="88">
        <v>2896151</v>
      </c>
      <c r="AA189" s="178" t="str">
        <f t="shared" si="34"/>
        <v>PJ07812</v>
      </c>
      <c r="AB189" s="228" t="s">
        <v>1888</v>
      </c>
      <c r="AC189" s="88">
        <v>2896152</v>
      </c>
      <c r="AD189" s="187">
        <v>4225</v>
      </c>
      <c r="AE189" s="228" t="s">
        <v>583</v>
      </c>
      <c r="AF189" s="88" t="s">
        <v>330</v>
      </c>
      <c r="AG189" s="88" t="s">
        <v>413</v>
      </c>
      <c r="AH189" s="49" t="s">
        <v>2087</v>
      </c>
    </row>
    <row r="190" spans="1:34" s="72" customFormat="1" ht="25.5" customHeight="1">
      <c r="A190" s="178" t="s">
        <v>268</v>
      </c>
      <c r="B190" s="16" t="s">
        <v>1182</v>
      </c>
      <c r="C190" s="19" t="s">
        <v>544</v>
      </c>
      <c r="D190" s="19" t="s">
        <v>572</v>
      </c>
      <c r="E190" s="17" t="s">
        <v>144</v>
      </c>
      <c r="F190" s="16" t="s">
        <v>1624</v>
      </c>
      <c r="G190" s="16"/>
      <c r="H190" s="338" t="s">
        <v>2391</v>
      </c>
      <c r="I190" s="16" t="s">
        <v>539</v>
      </c>
      <c r="J190" s="16" t="s">
        <v>103</v>
      </c>
      <c r="K190" s="16"/>
      <c r="L190" s="16" t="s">
        <v>277</v>
      </c>
      <c r="M190" s="16"/>
      <c r="N190" s="16"/>
      <c r="O190" s="16"/>
      <c r="P190" s="16"/>
      <c r="Q190" s="17">
        <v>12</v>
      </c>
      <c r="R190" s="16" t="str">
        <f t="shared" si="32"/>
        <v>SC07798</v>
      </c>
      <c r="S190" s="19" t="s">
        <v>572</v>
      </c>
      <c r="T190" s="17" t="s">
        <v>2040</v>
      </c>
      <c r="U190" s="17">
        <v>2893657</v>
      </c>
      <c r="V190" s="187">
        <v>2652</v>
      </c>
      <c r="W190" s="230" t="s">
        <v>1164</v>
      </c>
      <c r="X190" s="178" t="str">
        <f t="shared" si="33"/>
        <v>PJ07750</v>
      </c>
      <c r="Y190" s="228" t="s">
        <v>1856</v>
      </c>
      <c r="Z190" s="88" t="s">
        <v>294</v>
      </c>
      <c r="AA190" s="178" t="str">
        <f t="shared" si="34"/>
        <v>PJ07751</v>
      </c>
      <c r="AB190" s="228" t="s">
        <v>1857</v>
      </c>
      <c r="AC190" s="88" t="s">
        <v>294</v>
      </c>
      <c r="AD190" s="187">
        <v>4225</v>
      </c>
      <c r="AE190" s="228" t="s">
        <v>583</v>
      </c>
      <c r="AF190" s="88" t="s">
        <v>330</v>
      </c>
      <c r="AG190" s="88" t="s">
        <v>413</v>
      </c>
      <c r="AH190" s="49" t="s">
        <v>2088</v>
      </c>
    </row>
    <row r="191" spans="1:34" s="72" customFormat="1" ht="63.75" customHeight="1">
      <c r="A191" s="16" t="s">
        <v>268</v>
      </c>
      <c r="B191" s="16" t="s">
        <v>1182</v>
      </c>
      <c r="C191" s="19" t="s">
        <v>544</v>
      </c>
      <c r="D191" s="19" t="s">
        <v>557</v>
      </c>
      <c r="E191" s="17" t="s">
        <v>573</v>
      </c>
      <c r="F191" s="16" t="s">
        <v>1624</v>
      </c>
      <c r="G191" s="16"/>
      <c r="H191" s="338" t="s">
        <v>1327</v>
      </c>
      <c r="I191" s="16" t="s">
        <v>539</v>
      </c>
      <c r="J191" s="337" t="s">
        <v>2415</v>
      </c>
      <c r="K191" s="16"/>
      <c r="L191" s="16" t="s">
        <v>277</v>
      </c>
      <c r="M191" s="16"/>
      <c r="N191" s="16"/>
      <c r="O191" s="16"/>
      <c r="P191" s="16"/>
      <c r="Q191" s="17">
        <v>59</v>
      </c>
      <c r="R191" s="16" t="str">
        <f t="shared" si="32"/>
        <v>SC07798</v>
      </c>
      <c r="S191" s="19" t="s">
        <v>557</v>
      </c>
      <c r="T191" s="17" t="s">
        <v>2039</v>
      </c>
      <c r="U191" s="17">
        <v>4309839</v>
      </c>
      <c r="V191" s="187">
        <v>2652</v>
      </c>
      <c r="W191" s="228" t="s">
        <v>1164</v>
      </c>
      <c r="X191" s="178" t="str">
        <f t="shared" si="33"/>
        <v>PJ07750</v>
      </c>
      <c r="Y191" s="228" t="s">
        <v>1856</v>
      </c>
      <c r="Z191" s="88" t="s">
        <v>294</v>
      </c>
      <c r="AA191" s="178" t="str">
        <f t="shared" si="34"/>
        <v>PJ07751</v>
      </c>
      <c r="AB191" s="228" t="s">
        <v>1857</v>
      </c>
      <c r="AC191" s="88" t="s">
        <v>294</v>
      </c>
      <c r="AD191" s="187">
        <v>4225</v>
      </c>
      <c r="AE191" s="228" t="s">
        <v>583</v>
      </c>
      <c r="AF191" s="88" t="s">
        <v>330</v>
      </c>
      <c r="AG191" s="88" t="s">
        <v>413</v>
      </c>
      <c r="AH191" s="49" t="s">
        <v>2089</v>
      </c>
    </row>
    <row r="192" spans="1:34" s="72" customFormat="1" ht="25.5" customHeight="1">
      <c r="A192" s="178" t="s">
        <v>268</v>
      </c>
      <c r="B192" s="16" t="s">
        <v>1182</v>
      </c>
      <c r="C192" s="19" t="s">
        <v>545</v>
      </c>
      <c r="D192" s="19" t="s">
        <v>570</v>
      </c>
      <c r="E192" s="17" t="s">
        <v>145</v>
      </c>
      <c r="F192" s="16" t="s">
        <v>1624</v>
      </c>
      <c r="G192" s="16"/>
      <c r="H192" s="338" t="s">
        <v>2392</v>
      </c>
      <c r="I192" s="16" t="s">
        <v>539</v>
      </c>
      <c r="J192" s="16" t="s">
        <v>103</v>
      </c>
      <c r="K192" s="16"/>
      <c r="L192" s="16" t="s">
        <v>277</v>
      </c>
      <c r="M192" s="16"/>
      <c r="N192" s="16"/>
      <c r="O192" s="16"/>
      <c r="P192" s="16"/>
      <c r="Q192" s="17">
        <v>13</v>
      </c>
      <c r="R192" s="16" t="str">
        <f t="shared" si="32"/>
        <v>SC07797</v>
      </c>
      <c r="S192" s="19" t="s">
        <v>570</v>
      </c>
      <c r="T192" s="17" t="s">
        <v>2038</v>
      </c>
      <c r="U192" s="17">
        <v>2873656</v>
      </c>
      <c r="V192" s="187">
        <v>2652</v>
      </c>
      <c r="W192" s="230" t="s">
        <v>1164</v>
      </c>
      <c r="X192" s="178" t="str">
        <f t="shared" si="33"/>
        <v>PJ07750</v>
      </c>
      <c r="Y192" s="228" t="s">
        <v>1856</v>
      </c>
      <c r="Z192" s="88" t="s">
        <v>294</v>
      </c>
      <c r="AA192" s="178" t="str">
        <f t="shared" si="34"/>
        <v>PJ07751</v>
      </c>
      <c r="AB192" s="228" t="s">
        <v>1857</v>
      </c>
      <c r="AC192" s="88" t="s">
        <v>294</v>
      </c>
      <c r="AD192" s="187">
        <v>4225</v>
      </c>
      <c r="AE192" s="228" t="s">
        <v>583</v>
      </c>
      <c r="AF192" s="88" t="s">
        <v>330</v>
      </c>
      <c r="AG192" s="88" t="s">
        <v>413</v>
      </c>
      <c r="AH192" s="49" t="s">
        <v>2090</v>
      </c>
    </row>
    <row r="193" spans="1:35" s="72" customFormat="1" ht="38.25">
      <c r="A193" s="16" t="s">
        <v>268</v>
      </c>
      <c r="B193" s="16" t="s">
        <v>1182</v>
      </c>
      <c r="C193" s="19" t="s">
        <v>545</v>
      </c>
      <c r="D193" s="19" t="s">
        <v>557</v>
      </c>
      <c r="E193" s="17" t="s">
        <v>571</v>
      </c>
      <c r="F193" s="16" t="s">
        <v>1624</v>
      </c>
      <c r="G193" s="16"/>
      <c r="H193" s="340" t="s">
        <v>1328</v>
      </c>
      <c r="I193" s="16" t="s">
        <v>539</v>
      </c>
      <c r="J193" s="337" t="s">
        <v>2415</v>
      </c>
      <c r="K193" s="16"/>
      <c r="L193" s="16" t="s">
        <v>277</v>
      </c>
      <c r="M193" s="16"/>
      <c r="N193" s="16"/>
      <c r="O193" s="16"/>
      <c r="P193" s="16"/>
      <c r="Q193" s="17">
        <v>62</v>
      </c>
      <c r="R193" s="16" t="str">
        <f t="shared" si="32"/>
        <v>SC07797</v>
      </c>
      <c r="S193" s="19" t="s">
        <v>557</v>
      </c>
      <c r="T193" s="17" t="s">
        <v>2037</v>
      </c>
      <c r="U193" s="17">
        <v>4309840</v>
      </c>
      <c r="V193" s="187">
        <v>2652</v>
      </c>
      <c r="W193" s="228" t="s">
        <v>1164</v>
      </c>
      <c r="X193" s="178" t="str">
        <f t="shared" si="33"/>
        <v>PJ07750</v>
      </c>
      <c r="Y193" s="228" t="s">
        <v>1856</v>
      </c>
      <c r="Z193" s="88" t="s">
        <v>294</v>
      </c>
      <c r="AA193" s="178" t="str">
        <f t="shared" si="34"/>
        <v>PJ07751</v>
      </c>
      <c r="AB193" s="228" t="s">
        <v>1857</v>
      </c>
      <c r="AC193" s="88" t="s">
        <v>294</v>
      </c>
      <c r="AD193" s="187">
        <v>4225</v>
      </c>
      <c r="AE193" s="228" t="s">
        <v>583</v>
      </c>
      <c r="AF193" s="88" t="s">
        <v>330</v>
      </c>
      <c r="AG193" s="88" t="s">
        <v>413</v>
      </c>
      <c r="AH193" s="49" t="s">
        <v>2091</v>
      </c>
    </row>
    <row r="194" spans="1:35" s="176" customFormat="1" ht="63.75" customHeight="1">
      <c r="A194" s="16" t="s">
        <v>268</v>
      </c>
      <c r="B194" s="16" t="s">
        <v>1182</v>
      </c>
      <c r="C194" s="19" t="s">
        <v>127</v>
      </c>
      <c r="D194" s="19" t="s">
        <v>557</v>
      </c>
      <c r="E194" s="17" t="s">
        <v>144</v>
      </c>
      <c r="F194" s="16" t="s">
        <v>1624</v>
      </c>
      <c r="G194" s="16"/>
      <c r="H194" s="338" t="s">
        <v>2391</v>
      </c>
      <c r="I194" s="16" t="s">
        <v>539</v>
      </c>
      <c r="J194" s="16" t="s">
        <v>103</v>
      </c>
      <c r="K194" s="16"/>
      <c r="L194" s="16" t="s">
        <v>277</v>
      </c>
      <c r="M194" s="16"/>
      <c r="N194" s="16"/>
      <c r="O194" s="16"/>
      <c r="P194" s="16"/>
      <c r="Q194" s="17">
        <v>12</v>
      </c>
      <c r="R194" s="16" t="str">
        <f t="shared" si="32"/>
        <v>SC07796</v>
      </c>
      <c r="S194" s="19" t="s">
        <v>557</v>
      </c>
      <c r="T194" s="17" t="s">
        <v>1576</v>
      </c>
      <c r="U194" s="17">
        <v>4309841</v>
      </c>
      <c r="V194" s="187">
        <v>2652</v>
      </c>
      <c r="W194" s="228" t="s">
        <v>1164</v>
      </c>
      <c r="X194" s="178" t="str">
        <f t="shared" si="33"/>
        <v>PJ07750</v>
      </c>
      <c r="Y194" s="228" t="s">
        <v>1856</v>
      </c>
      <c r="Z194" s="88">
        <v>2896141</v>
      </c>
      <c r="AA194" s="178" t="str">
        <f t="shared" si="34"/>
        <v>PJ07751</v>
      </c>
      <c r="AB194" s="228" t="s">
        <v>1857</v>
      </c>
      <c r="AC194" s="88">
        <v>2896142</v>
      </c>
      <c r="AD194" s="187">
        <v>4225</v>
      </c>
      <c r="AE194" s="228" t="s">
        <v>583</v>
      </c>
      <c r="AF194" s="88" t="s">
        <v>330</v>
      </c>
      <c r="AG194" s="88" t="s">
        <v>413</v>
      </c>
      <c r="AH194" s="49" t="s">
        <v>2092</v>
      </c>
    </row>
    <row r="195" spans="1:35" ht="25.5" customHeight="1">
      <c r="A195" s="178" t="s">
        <v>268</v>
      </c>
      <c r="B195" s="16" t="s">
        <v>1182</v>
      </c>
      <c r="C195" s="19" t="s">
        <v>546</v>
      </c>
      <c r="D195" s="19" t="s">
        <v>569</v>
      </c>
      <c r="E195" s="17" t="s">
        <v>141</v>
      </c>
      <c r="F195" s="16" t="s">
        <v>1605</v>
      </c>
      <c r="G195" s="16"/>
      <c r="H195" s="340" t="s">
        <v>2404</v>
      </c>
      <c r="I195" s="16" t="s">
        <v>539</v>
      </c>
      <c r="J195" s="16" t="s">
        <v>103</v>
      </c>
      <c r="K195" s="16"/>
      <c r="L195" s="16" t="s">
        <v>277</v>
      </c>
      <c r="M195" s="16"/>
      <c r="N195" s="16"/>
      <c r="O195" s="16"/>
      <c r="P195" s="16"/>
      <c r="Q195" s="17">
        <v>18</v>
      </c>
      <c r="R195" s="16" t="str">
        <f t="shared" si="32"/>
        <v>SC07795</v>
      </c>
      <c r="S195" s="19" t="s">
        <v>569</v>
      </c>
      <c r="T195" s="17" t="s">
        <v>2234</v>
      </c>
      <c r="U195" s="17" t="s">
        <v>294</v>
      </c>
      <c r="V195" s="187">
        <v>2652</v>
      </c>
      <c r="W195" s="230" t="s">
        <v>581</v>
      </c>
      <c r="X195" s="178" t="str">
        <f t="shared" si="33"/>
        <v>PJ07746</v>
      </c>
      <c r="Y195" s="228" t="s">
        <v>2374</v>
      </c>
      <c r="Z195" s="88" t="s">
        <v>294</v>
      </c>
      <c r="AA195" s="178" t="str">
        <f t="shared" si="34"/>
        <v>PJ07747</v>
      </c>
      <c r="AB195" s="228" t="s">
        <v>590</v>
      </c>
      <c r="AC195" s="88" t="s">
        <v>294</v>
      </c>
      <c r="AD195" s="187">
        <v>4225</v>
      </c>
      <c r="AE195" s="228" t="s">
        <v>583</v>
      </c>
      <c r="AF195" s="88" t="s">
        <v>330</v>
      </c>
      <c r="AG195" s="88" t="s">
        <v>413</v>
      </c>
      <c r="AH195" s="49" t="s">
        <v>2093</v>
      </c>
    </row>
    <row r="196" spans="1:35" ht="63.75" customHeight="1">
      <c r="A196" s="16" t="s">
        <v>268</v>
      </c>
      <c r="B196" s="16" t="s">
        <v>1182</v>
      </c>
      <c r="C196" s="19" t="s">
        <v>546</v>
      </c>
      <c r="D196" s="19" t="s">
        <v>557</v>
      </c>
      <c r="E196" s="17" t="s">
        <v>568</v>
      </c>
      <c r="F196" s="16" t="s">
        <v>1605</v>
      </c>
      <c r="G196" s="16"/>
      <c r="H196" s="338" t="s">
        <v>1330</v>
      </c>
      <c r="I196" s="16" t="s">
        <v>539</v>
      </c>
      <c r="J196" s="337" t="s">
        <v>2415</v>
      </c>
      <c r="K196" s="16"/>
      <c r="L196" s="16" t="s">
        <v>277</v>
      </c>
      <c r="M196" s="16"/>
      <c r="N196" s="16"/>
      <c r="O196" s="16"/>
      <c r="P196" s="16"/>
      <c r="Q196" s="17">
        <v>64</v>
      </c>
      <c r="R196" s="16" t="str">
        <f t="shared" si="32"/>
        <v>SC07795</v>
      </c>
      <c r="S196" s="19" t="s">
        <v>557</v>
      </c>
      <c r="T196" s="17" t="s">
        <v>2233</v>
      </c>
      <c r="U196" s="17">
        <v>4309842</v>
      </c>
      <c r="V196" s="187">
        <v>2652</v>
      </c>
      <c r="W196" s="228" t="s">
        <v>1164</v>
      </c>
      <c r="X196" s="178" t="str">
        <f t="shared" si="33"/>
        <v>PJ07746</v>
      </c>
      <c r="Y196" s="228" t="s">
        <v>2374</v>
      </c>
      <c r="Z196" s="88" t="s">
        <v>294</v>
      </c>
      <c r="AA196" s="178" t="str">
        <f t="shared" si="34"/>
        <v>PJ07747</v>
      </c>
      <c r="AB196" s="228" t="s">
        <v>590</v>
      </c>
      <c r="AC196" s="88" t="s">
        <v>294</v>
      </c>
      <c r="AD196" s="187">
        <v>4225</v>
      </c>
      <c r="AE196" s="228" t="s">
        <v>583</v>
      </c>
      <c r="AF196" s="88" t="s">
        <v>330</v>
      </c>
      <c r="AG196" s="88" t="s">
        <v>413</v>
      </c>
      <c r="AH196" s="49" t="s">
        <v>2094</v>
      </c>
    </row>
    <row r="197" spans="1:35" ht="25.5" customHeight="1">
      <c r="A197" s="178" t="s">
        <v>268</v>
      </c>
      <c r="B197" s="16" t="s">
        <v>1182</v>
      </c>
      <c r="C197" s="19" t="s">
        <v>547</v>
      </c>
      <c r="D197" s="19" t="s">
        <v>566</v>
      </c>
      <c r="E197" s="16" t="s">
        <v>143</v>
      </c>
      <c r="F197" s="16" t="s">
        <v>1604</v>
      </c>
      <c r="G197" s="16" t="s">
        <v>539</v>
      </c>
      <c r="H197" s="340" t="s">
        <v>2401</v>
      </c>
      <c r="I197" s="16" t="s">
        <v>539</v>
      </c>
      <c r="J197" s="337" t="s">
        <v>2415</v>
      </c>
      <c r="K197" s="16"/>
      <c r="L197" s="16" t="s">
        <v>277</v>
      </c>
      <c r="M197" s="16"/>
      <c r="N197" s="16"/>
      <c r="O197" s="16"/>
      <c r="P197" s="16"/>
      <c r="Q197" s="17">
        <v>15</v>
      </c>
      <c r="R197" s="16" t="str">
        <f t="shared" si="32"/>
        <v>SC07794</v>
      </c>
      <c r="S197" s="257" t="str">
        <f t="shared" si="32"/>
        <v>DO07041</v>
      </c>
      <c r="T197" s="17" t="s">
        <v>2232</v>
      </c>
      <c r="U197" s="17" t="s">
        <v>294</v>
      </c>
      <c r="V197" s="187">
        <v>2652</v>
      </c>
      <c r="W197" s="230" t="s">
        <v>581</v>
      </c>
      <c r="X197" s="178" t="str">
        <f t="shared" si="33"/>
        <v>PJ07744</v>
      </c>
      <c r="Y197" s="228" t="s">
        <v>588</v>
      </c>
      <c r="Z197" s="88" t="s">
        <v>294</v>
      </c>
      <c r="AA197" s="178" t="str">
        <f t="shared" si="34"/>
        <v>PJ07745</v>
      </c>
      <c r="AB197" s="228" t="s">
        <v>589</v>
      </c>
      <c r="AC197" s="88" t="s">
        <v>294</v>
      </c>
      <c r="AD197" s="187">
        <v>4225</v>
      </c>
      <c r="AE197" s="228" t="s">
        <v>583</v>
      </c>
      <c r="AF197" s="88" t="s">
        <v>330</v>
      </c>
      <c r="AG197" s="88" t="s">
        <v>413</v>
      </c>
      <c r="AH197" s="49" t="s">
        <v>2095</v>
      </c>
    </row>
    <row r="198" spans="1:35" ht="63.75" customHeight="1">
      <c r="A198" s="16" t="s">
        <v>268</v>
      </c>
      <c r="B198" s="16" t="s">
        <v>1182</v>
      </c>
      <c r="C198" s="19" t="s">
        <v>547</v>
      </c>
      <c r="D198" s="19" t="s">
        <v>557</v>
      </c>
      <c r="E198" s="16" t="s">
        <v>567</v>
      </c>
      <c r="F198" s="16" t="s">
        <v>1604</v>
      </c>
      <c r="G198" s="16"/>
      <c r="H198" s="338" t="s">
        <v>1567</v>
      </c>
      <c r="I198" s="16" t="s">
        <v>539</v>
      </c>
      <c r="J198" s="337" t="s">
        <v>2415</v>
      </c>
      <c r="K198" s="16"/>
      <c r="L198" s="16" t="s">
        <v>277</v>
      </c>
      <c r="M198" s="16"/>
      <c r="N198" s="16"/>
      <c r="O198" s="16"/>
      <c r="P198" s="16"/>
      <c r="Q198" s="17">
        <v>63</v>
      </c>
      <c r="R198" s="16" t="str">
        <f t="shared" si="32"/>
        <v>SC07794</v>
      </c>
      <c r="S198" s="257" t="str">
        <f t="shared" si="32"/>
        <v>DO07016</v>
      </c>
      <c r="T198" s="17" t="s">
        <v>2231</v>
      </c>
      <c r="U198" s="17">
        <v>4309843</v>
      </c>
      <c r="V198" s="187">
        <v>2652</v>
      </c>
      <c r="W198" s="228" t="s">
        <v>1164</v>
      </c>
      <c r="X198" s="178" t="str">
        <f t="shared" si="33"/>
        <v>PJ07744</v>
      </c>
      <c r="Y198" s="228" t="s">
        <v>588</v>
      </c>
      <c r="Z198" s="88" t="s">
        <v>294</v>
      </c>
      <c r="AA198" s="178" t="str">
        <f t="shared" si="34"/>
        <v>PJ07745</v>
      </c>
      <c r="AB198" s="228" t="s">
        <v>589</v>
      </c>
      <c r="AC198" s="88" t="s">
        <v>294</v>
      </c>
      <c r="AD198" s="187">
        <v>4225</v>
      </c>
      <c r="AE198" s="228" t="s">
        <v>583</v>
      </c>
      <c r="AF198" s="88" t="s">
        <v>330</v>
      </c>
      <c r="AG198" s="88" t="s">
        <v>413</v>
      </c>
      <c r="AH198" s="49" t="s">
        <v>2096</v>
      </c>
    </row>
    <row r="199" spans="1:35" ht="25.5" customHeight="1">
      <c r="A199" s="16" t="s">
        <v>268</v>
      </c>
      <c r="B199" s="16" t="s">
        <v>1182</v>
      </c>
      <c r="C199" s="19" t="s">
        <v>126</v>
      </c>
      <c r="D199" s="19" t="s">
        <v>557</v>
      </c>
      <c r="E199" s="17" t="s">
        <v>143</v>
      </c>
      <c r="F199" s="16" t="s">
        <v>1609</v>
      </c>
      <c r="G199" s="16"/>
      <c r="H199" s="340" t="s">
        <v>2401</v>
      </c>
      <c r="I199" s="16" t="s">
        <v>539</v>
      </c>
      <c r="J199" s="16" t="s">
        <v>103</v>
      </c>
      <c r="K199" s="16"/>
      <c r="L199" s="16" t="s">
        <v>277</v>
      </c>
      <c r="M199" s="16"/>
      <c r="N199" s="16"/>
      <c r="O199" s="16"/>
      <c r="P199" s="16"/>
      <c r="Q199" s="17">
        <v>15</v>
      </c>
      <c r="R199" s="16" t="str">
        <f t="shared" si="32"/>
        <v>SC07793</v>
      </c>
      <c r="S199" s="19" t="s">
        <v>557</v>
      </c>
      <c r="T199" s="17" t="s">
        <v>2229</v>
      </c>
      <c r="U199" s="17">
        <v>4309844</v>
      </c>
      <c r="V199" s="187">
        <v>2652</v>
      </c>
      <c r="W199" s="228" t="s">
        <v>1164</v>
      </c>
      <c r="X199" s="178" t="str">
        <f t="shared" si="33"/>
        <v>PJ07805</v>
      </c>
      <c r="Y199" s="228" t="s">
        <v>593</v>
      </c>
      <c r="Z199" s="88">
        <v>2896157</v>
      </c>
      <c r="AA199" s="178" t="str">
        <f t="shared" si="34"/>
        <v>PJ07806</v>
      </c>
      <c r="AB199" s="228" t="s">
        <v>594</v>
      </c>
      <c r="AC199" s="88">
        <v>2896158</v>
      </c>
      <c r="AD199" s="187">
        <v>4225</v>
      </c>
      <c r="AE199" s="228" t="s">
        <v>583</v>
      </c>
      <c r="AF199" s="88" t="s">
        <v>330</v>
      </c>
      <c r="AG199" s="88" t="s">
        <v>413</v>
      </c>
      <c r="AH199" s="49" t="s">
        <v>2097</v>
      </c>
      <c r="AI199" s="20"/>
    </row>
    <row r="200" spans="1:35" ht="63.75" customHeight="1">
      <c r="A200" s="16" t="s">
        <v>268</v>
      </c>
      <c r="B200" s="16" t="s">
        <v>1182</v>
      </c>
      <c r="C200" s="19" t="s">
        <v>548</v>
      </c>
      <c r="D200" s="19" t="s">
        <v>557</v>
      </c>
      <c r="E200" s="16" t="s">
        <v>565</v>
      </c>
      <c r="F200" s="229" t="s">
        <v>1608</v>
      </c>
      <c r="G200" s="19"/>
      <c r="H200" s="338" t="s">
        <v>1568</v>
      </c>
      <c r="I200" s="16" t="s">
        <v>539</v>
      </c>
      <c r="J200" s="178" t="s">
        <v>1199</v>
      </c>
      <c r="K200" s="16"/>
      <c r="L200" s="16" t="s">
        <v>277</v>
      </c>
      <c r="M200" s="16"/>
      <c r="N200" s="16"/>
      <c r="O200" s="16"/>
      <c r="P200" s="16"/>
      <c r="Q200" s="17">
        <v>68</v>
      </c>
      <c r="R200" s="16" t="str">
        <f t="shared" si="32"/>
        <v>SC07792</v>
      </c>
      <c r="S200" s="19" t="s">
        <v>557</v>
      </c>
      <c r="T200" s="17" t="s">
        <v>2035</v>
      </c>
      <c r="U200" s="17">
        <v>4309845</v>
      </c>
      <c r="V200" s="187">
        <v>2652</v>
      </c>
      <c r="W200" s="228" t="s">
        <v>1164</v>
      </c>
      <c r="X200" s="178" t="str">
        <f t="shared" si="33"/>
        <v>PJ07742</v>
      </c>
      <c r="Y200" s="228" t="s">
        <v>1854</v>
      </c>
      <c r="Z200" s="88" t="s">
        <v>294</v>
      </c>
      <c r="AA200" s="178" t="str">
        <f t="shared" si="34"/>
        <v>PJ07743</v>
      </c>
      <c r="AB200" s="228" t="s">
        <v>1855</v>
      </c>
      <c r="AC200" s="88" t="s">
        <v>294</v>
      </c>
      <c r="AD200" s="187">
        <v>4225</v>
      </c>
      <c r="AE200" s="228" t="s">
        <v>583</v>
      </c>
      <c r="AF200" s="88" t="s">
        <v>330</v>
      </c>
      <c r="AG200" s="88" t="s">
        <v>413</v>
      </c>
      <c r="AH200" s="49" t="s">
        <v>2098</v>
      </c>
      <c r="AI200" s="20"/>
    </row>
    <row r="201" spans="1:35" ht="63.75" customHeight="1">
      <c r="A201" s="16" t="s">
        <v>268</v>
      </c>
      <c r="B201" s="16" t="s">
        <v>1182</v>
      </c>
      <c r="C201" s="19" t="s">
        <v>125</v>
      </c>
      <c r="D201" s="19" t="s">
        <v>557</v>
      </c>
      <c r="E201" s="17" t="s">
        <v>142</v>
      </c>
      <c r="F201" s="16" t="s">
        <v>1608</v>
      </c>
      <c r="G201" s="16"/>
      <c r="H201" s="338" t="s">
        <v>2389</v>
      </c>
      <c r="I201" s="16" t="s">
        <v>539</v>
      </c>
      <c r="J201" s="16" t="s">
        <v>103</v>
      </c>
      <c r="K201" s="16"/>
      <c r="L201" s="16" t="s">
        <v>277</v>
      </c>
      <c r="M201" s="16"/>
      <c r="N201" s="16"/>
      <c r="O201" s="16"/>
      <c r="P201" s="16"/>
      <c r="Q201" s="17">
        <v>27</v>
      </c>
      <c r="R201" s="16" t="str">
        <f t="shared" si="32"/>
        <v>SC07791</v>
      </c>
      <c r="S201" s="19" t="s">
        <v>557</v>
      </c>
      <c r="T201" s="17" t="s">
        <v>1579</v>
      </c>
      <c r="U201" s="17">
        <v>4309846</v>
      </c>
      <c r="V201" s="187">
        <v>2652</v>
      </c>
      <c r="W201" s="228" t="s">
        <v>1164</v>
      </c>
      <c r="X201" s="178" t="str">
        <f t="shared" si="33"/>
        <v>PJ07742</v>
      </c>
      <c r="Y201" s="228" t="s">
        <v>1854</v>
      </c>
      <c r="Z201" s="88">
        <v>2896135</v>
      </c>
      <c r="AA201" s="178" t="str">
        <f t="shared" si="34"/>
        <v>PJ07743</v>
      </c>
      <c r="AB201" s="228" t="s">
        <v>1855</v>
      </c>
      <c r="AC201" s="88">
        <v>2896136</v>
      </c>
      <c r="AD201" s="187">
        <v>4225</v>
      </c>
      <c r="AE201" s="228" t="s">
        <v>583</v>
      </c>
      <c r="AF201" s="88" t="s">
        <v>330</v>
      </c>
      <c r="AG201" s="88" t="s">
        <v>413</v>
      </c>
      <c r="AH201" s="49" t="s">
        <v>2099</v>
      </c>
      <c r="AI201" s="20"/>
    </row>
    <row r="202" spans="1:35" ht="25.5" customHeight="1">
      <c r="A202" s="178" t="s">
        <v>268</v>
      </c>
      <c r="B202" s="16" t="s">
        <v>1182</v>
      </c>
      <c r="C202" s="19" t="s">
        <v>549</v>
      </c>
      <c r="D202" s="17" t="s">
        <v>562</v>
      </c>
      <c r="E202" s="16" t="s">
        <v>142</v>
      </c>
      <c r="F202" s="229" t="s">
        <v>1608</v>
      </c>
      <c r="G202" s="16" t="s">
        <v>539</v>
      </c>
      <c r="H202" s="338" t="s">
        <v>2389</v>
      </c>
      <c r="I202" s="16" t="s">
        <v>539</v>
      </c>
      <c r="J202" s="337" t="s">
        <v>2415</v>
      </c>
      <c r="K202" s="16"/>
      <c r="L202" s="16" t="s">
        <v>277</v>
      </c>
      <c r="M202" s="16"/>
      <c r="N202" s="16"/>
      <c r="O202" s="16"/>
      <c r="P202" s="16"/>
      <c r="Q202" s="17">
        <v>27</v>
      </c>
      <c r="R202" s="16" t="str">
        <f t="shared" si="32"/>
        <v>SC07790</v>
      </c>
      <c r="S202" s="17" t="s">
        <v>562</v>
      </c>
      <c r="T202" s="17" t="s">
        <v>2033</v>
      </c>
      <c r="U202" s="17" t="s">
        <v>294</v>
      </c>
      <c r="V202" s="187">
        <v>2652</v>
      </c>
      <c r="W202" s="230" t="s">
        <v>581</v>
      </c>
      <c r="X202" s="178" t="str">
        <f t="shared" si="33"/>
        <v>PJ07742</v>
      </c>
      <c r="Y202" s="228" t="s">
        <v>1854</v>
      </c>
      <c r="Z202" s="88" t="s">
        <v>294</v>
      </c>
      <c r="AA202" s="178" t="str">
        <f t="shared" si="34"/>
        <v>PJ07743</v>
      </c>
      <c r="AB202" s="228" t="s">
        <v>1855</v>
      </c>
      <c r="AC202" s="88" t="s">
        <v>294</v>
      </c>
      <c r="AD202" s="187">
        <v>4225</v>
      </c>
      <c r="AE202" s="228" t="s">
        <v>583</v>
      </c>
      <c r="AF202" s="88" t="s">
        <v>330</v>
      </c>
      <c r="AG202" s="88" t="s">
        <v>413</v>
      </c>
      <c r="AH202" s="49" t="s">
        <v>2100</v>
      </c>
      <c r="AI202" s="20"/>
    </row>
    <row r="203" spans="1:35" ht="38.25" customHeight="1">
      <c r="A203" s="16" t="s">
        <v>268</v>
      </c>
      <c r="B203" s="16" t="s">
        <v>1182</v>
      </c>
      <c r="C203" s="19" t="s">
        <v>549</v>
      </c>
      <c r="D203" s="19" t="s">
        <v>557</v>
      </c>
      <c r="E203" s="16" t="s">
        <v>563</v>
      </c>
      <c r="F203" s="229" t="s">
        <v>1608</v>
      </c>
      <c r="G203" s="16"/>
      <c r="H203" s="340" t="s">
        <v>1332</v>
      </c>
      <c r="I203" s="16" t="s">
        <v>539</v>
      </c>
      <c r="J203" s="337" t="s">
        <v>2415</v>
      </c>
      <c r="K203" s="16"/>
      <c r="L203" s="16" t="s">
        <v>277</v>
      </c>
      <c r="M203" s="16"/>
      <c r="N203" s="16"/>
      <c r="O203" s="16"/>
      <c r="P203" s="16"/>
      <c r="Q203" s="17">
        <v>66</v>
      </c>
      <c r="R203" s="16" t="str">
        <f t="shared" si="32"/>
        <v>SC07790</v>
      </c>
      <c r="S203" s="19" t="s">
        <v>557</v>
      </c>
      <c r="T203" s="17" t="s">
        <v>2032</v>
      </c>
      <c r="U203" s="17">
        <v>4309847</v>
      </c>
      <c r="V203" s="187">
        <v>2652</v>
      </c>
      <c r="W203" s="228" t="s">
        <v>1164</v>
      </c>
      <c r="X203" s="178" t="str">
        <f t="shared" si="33"/>
        <v>PJ07742</v>
      </c>
      <c r="Y203" s="228" t="s">
        <v>1854</v>
      </c>
      <c r="Z203" s="88" t="s">
        <v>294</v>
      </c>
      <c r="AA203" s="178" t="str">
        <f t="shared" si="34"/>
        <v>PJ07743</v>
      </c>
      <c r="AB203" s="228" t="s">
        <v>1855</v>
      </c>
      <c r="AC203" s="88" t="s">
        <v>294</v>
      </c>
      <c r="AD203" s="187">
        <v>4225</v>
      </c>
      <c r="AE203" s="228" t="s">
        <v>583</v>
      </c>
      <c r="AF203" s="88" t="s">
        <v>330</v>
      </c>
      <c r="AG203" s="88" t="s">
        <v>413</v>
      </c>
      <c r="AH203" s="49" t="s">
        <v>2101</v>
      </c>
      <c r="AI203" s="20"/>
    </row>
    <row r="204" spans="1:35" ht="38.25" customHeight="1">
      <c r="A204" s="16" t="s">
        <v>268</v>
      </c>
      <c r="B204" s="16" t="s">
        <v>1182</v>
      </c>
      <c r="C204" s="19" t="s">
        <v>131</v>
      </c>
      <c r="D204" s="19" t="s">
        <v>557</v>
      </c>
      <c r="E204" s="17" t="s">
        <v>148</v>
      </c>
      <c r="F204" s="16" t="s">
        <v>1612</v>
      </c>
      <c r="G204" s="16"/>
      <c r="H204" s="338" t="s">
        <v>2395</v>
      </c>
      <c r="I204" s="16" t="s">
        <v>539</v>
      </c>
      <c r="J204" s="16" t="s">
        <v>103</v>
      </c>
      <c r="K204" s="16"/>
      <c r="L204" s="16" t="s">
        <v>277</v>
      </c>
      <c r="M204" s="16"/>
      <c r="N204" s="16"/>
      <c r="O204" s="16"/>
      <c r="P204" s="16"/>
      <c r="Q204" s="17">
        <v>25</v>
      </c>
      <c r="R204" s="16" t="str">
        <f t="shared" si="32"/>
        <v>SC07820</v>
      </c>
      <c r="S204" s="196" t="str">
        <f t="shared" si="32"/>
        <v>DO07016</v>
      </c>
      <c r="T204" s="17" t="s">
        <v>1587</v>
      </c>
      <c r="U204" s="16">
        <v>4309848</v>
      </c>
      <c r="V204" s="187">
        <v>2652</v>
      </c>
      <c r="W204" s="228" t="s">
        <v>1164</v>
      </c>
      <c r="X204" s="178" t="str">
        <f t="shared" si="33"/>
        <v>PJ07803</v>
      </c>
      <c r="Y204" s="228" t="s">
        <v>1885</v>
      </c>
      <c r="Z204" s="88">
        <v>2896155</v>
      </c>
      <c r="AA204" s="178" t="str">
        <f t="shared" si="34"/>
        <v>PJ07804</v>
      </c>
      <c r="AB204" s="228" t="s">
        <v>1886</v>
      </c>
      <c r="AC204" s="88">
        <v>2896156</v>
      </c>
      <c r="AD204" s="187">
        <v>4225</v>
      </c>
      <c r="AE204" s="228" t="s">
        <v>583</v>
      </c>
      <c r="AF204" s="88" t="s">
        <v>330</v>
      </c>
      <c r="AG204" s="88" t="s">
        <v>413</v>
      </c>
      <c r="AH204" s="49" t="s">
        <v>2102</v>
      </c>
      <c r="AI204" s="20"/>
    </row>
    <row r="205" spans="1:35" ht="25.5" customHeight="1">
      <c r="A205" s="16" t="s">
        <v>268</v>
      </c>
      <c r="B205" s="16" t="s">
        <v>1182</v>
      </c>
      <c r="C205" s="19" t="s">
        <v>130</v>
      </c>
      <c r="D205" s="19" t="s">
        <v>557</v>
      </c>
      <c r="E205" s="17" t="s">
        <v>147</v>
      </c>
      <c r="F205" s="16" t="s">
        <v>1611</v>
      </c>
      <c r="G205" s="16"/>
      <c r="H205" s="339" t="s">
        <v>2394</v>
      </c>
      <c r="I205" s="16" t="s">
        <v>539</v>
      </c>
      <c r="J205" s="16" t="s">
        <v>103</v>
      </c>
      <c r="K205" s="16"/>
      <c r="L205" s="16" t="s">
        <v>277</v>
      </c>
      <c r="M205" s="16"/>
      <c r="N205" s="16"/>
      <c r="O205" s="16"/>
      <c r="P205" s="16"/>
      <c r="Q205" s="17">
        <v>22</v>
      </c>
      <c r="R205" s="16" t="str">
        <f t="shared" si="32"/>
        <v>SC07819</v>
      </c>
      <c r="S205" s="196" t="str">
        <f t="shared" si="32"/>
        <v>DO07016</v>
      </c>
      <c r="T205" s="17" t="s">
        <v>2244</v>
      </c>
      <c r="U205" s="16">
        <v>4309849</v>
      </c>
      <c r="V205" s="187">
        <v>2652</v>
      </c>
      <c r="W205" s="228" t="s">
        <v>1164</v>
      </c>
      <c r="X205" s="178" t="str">
        <f t="shared" si="33"/>
        <v>PJ07813</v>
      </c>
      <c r="Y205" s="228" t="s">
        <v>1889</v>
      </c>
      <c r="Z205" s="88">
        <v>2896153</v>
      </c>
      <c r="AA205" s="178" t="str">
        <f t="shared" si="34"/>
        <v>PJ07814</v>
      </c>
      <c r="AB205" s="228" t="s">
        <v>1890</v>
      </c>
      <c r="AC205" s="88">
        <v>2896154</v>
      </c>
      <c r="AD205" s="187">
        <v>4225</v>
      </c>
      <c r="AE205" s="228" t="s">
        <v>583</v>
      </c>
      <c r="AF205" s="88" t="s">
        <v>330</v>
      </c>
      <c r="AG205" s="88" t="s">
        <v>413</v>
      </c>
      <c r="AH205" s="49" t="s">
        <v>2103</v>
      </c>
      <c r="AI205" s="20"/>
    </row>
    <row r="206" spans="1:35" ht="25.5" customHeight="1">
      <c r="A206" s="16" t="s">
        <v>268</v>
      </c>
      <c r="B206" s="16" t="s">
        <v>1182</v>
      </c>
      <c r="C206" s="19" t="s">
        <v>550</v>
      </c>
      <c r="D206" s="19" t="s">
        <v>557</v>
      </c>
      <c r="E206" s="17" t="s">
        <v>576</v>
      </c>
      <c r="F206" s="178" t="s">
        <v>1608</v>
      </c>
      <c r="G206" s="16"/>
      <c r="H206" s="338" t="s">
        <v>1569</v>
      </c>
      <c r="I206" s="16" t="s">
        <v>539</v>
      </c>
      <c r="J206" s="337" t="s">
        <v>2415</v>
      </c>
      <c r="K206" s="16"/>
      <c r="L206" s="16" t="s">
        <v>277</v>
      </c>
      <c r="M206" s="16"/>
      <c r="N206" s="16"/>
      <c r="O206" s="16"/>
      <c r="P206" s="16"/>
      <c r="Q206" s="17" t="s">
        <v>294</v>
      </c>
      <c r="R206" s="16" t="str">
        <f t="shared" si="32"/>
        <v>SC07818</v>
      </c>
      <c r="S206" s="19" t="s">
        <v>557</v>
      </c>
      <c r="T206" s="17" t="s">
        <v>1585</v>
      </c>
      <c r="U206" s="16">
        <v>4309850</v>
      </c>
      <c r="V206" s="187">
        <v>2652</v>
      </c>
      <c r="W206" s="228" t="s">
        <v>1164</v>
      </c>
      <c r="X206" s="178" t="str">
        <f t="shared" si="33"/>
        <v>PJ07742</v>
      </c>
      <c r="Y206" s="178" t="s">
        <v>1854</v>
      </c>
      <c r="Z206" s="88" t="s">
        <v>294</v>
      </c>
      <c r="AA206" s="178" t="str">
        <f t="shared" si="34"/>
        <v>PJ07743</v>
      </c>
      <c r="AB206" s="178" t="s">
        <v>1855</v>
      </c>
      <c r="AC206" s="88" t="s">
        <v>294</v>
      </c>
      <c r="AD206" s="187">
        <v>4225</v>
      </c>
      <c r="AE206" s="228" t="s">
        <v>583</v>
      </c>
      <c r="AF206" s="88" t="s">
        <v>330</v>
      </c>
      <c r="AG206" s="88" t="s">
        <v>413</v>
      </c>
      <c r="AH206" s="49" t="s">
        <v>2104</v>
      </c>
      <c r="AI206" s="20"/>
    </row>
    <row r="207" spans="1:35" ht="25.5" customHeight="1">
      <c r="A207" s="16" t="s">
        <v>268</v>
      </c>
      <c r="B207" s="16" t="s">
        <v>1182</v>
      </c>
      <c r="C207" s="19" t="s">
        <v>129</v>
      </c>
      <c r="D207" s="19" t="s">
        <v>557</v>
      </c>
      <c r="E207" s="17" t="s">
        <v>146</v>
      </c>
      <c r="F207" s="16" t="s">
        <v>1625</v>
      </c>
      <c r="G207" s="16"/>
      <c r="H207" s="338" t="s">
        <v>2393</v>
      </c>
      <c r="I207" s="16" t="s">
        <v>539</v>
      </c>
      <c r="J207" s="16" t="s">
        <v>103</v>
      </c>
      <c r="K207" s="16"/>
      <c r="L207" s="16" t="s">
        <v>277</v>
      </c>
      <c r="M207" s="16"/>
      <c r="N207" s="16"/>
      <c r="O207" s="16"/>
      <c r="P207" s="16"/>
      <c r="Q207" s="17">
        <v>20</v>
      </c>
      <c r="R207" s="16" t="str">
        <f t="shared" si="32"/>
        <v>SC07817</v>
      </c>
      <c r="S207" s="19" t="s">
        <v>557</v>
      </c>
      <c r="T207" s="17" t="s">
        <v>2242</v>
      </c>
      <c r="U207" s="16">
        <v>4309851</v>
      </c>
      <c r="V207" s="187">
        <v>2652</v>
      </c>
      <c r="W207" s="228" t="s">
        <v>1164</v>
      </c>
      <c r="X207" s="178" t="str">
        <f t="shared" si="33"/>
        <v>PJ07752</v>
      </c>
      <c r="Y207" s="228" t="s">
        <v>1858</v>
      </c>
      <c r="Z207" s="88">
        <v>2896143</v>
      </c>
      <c r="AA207" s="178" t="str">
        <f t="shared" si="34"/>
        <v>PJ07753</v>
      </c>
      <c r="AB207" s="228" t="s">
        <v>1859</v>
      </c>
      <c r="AC207" s="88">
        <v>2896144</v>
      </c>
      <c r="AD207" s="187">
        <v>4225</v>
      </c>
      <c r="AE207" s="228" t="s">
        <v>583</v>
      </c>
      <c r="AF207" s="88" t="s">
        <v>330</v>
      </c>
      <c r="AG207" s="88" t="s">
        <v>413</v>
      </c>
      <c r="AH207" s="49" t="s">
        <v>2105</v>
      </c>
      <c r="AI207" s="20"/>
    </row>
    <row r="208" spans="1:35" ht="25.5" customHeight="1">
      <c r="A208" s="16" t="s">
        <v>268</v>
      </c>
      <c r="B208" s="16" t="s">
        <v>1182</v>
      </c>
      <c r="C208" s="19" t="s">
        <v>551</v>
      </c>
      <c r="D208" s="19" t="s">
        <v>557</v>
      </c>
      <c r="E208" s="17" t="s">
        <v>577</v>
      </c>
      <c r="F208" s="178" t="s">
        <v>1605</v>
      </c>
      <c r="G208" s="16"/>
      <c r="H208" s="339" t="s">
        <v>1570</v>
      </c>
      <c r="I208" s="16" t="s">
        <v>539</v>
      </c>
      <c r="J208" s="337" t="s">
        <v>2415</v>
      </c>
      <c r="K208" s="16"/>
      <c r="L208" s="16" t="s">
        <v>277</v>
      </c>
      <c r="M208" s="16"/>
      <c r="N208" s="16"/>
      <c r="O208" s="16"/>
      <c r="P208" s="16"/>
      <c r="Q208" s="17" t="s">
        <v>294</v>
      </c>
      <c r="R208" s="16" t="str">
        <f t="shared" si="32"/>
        <v>SC07816</v>
      </c>
      <c r="S208" s="19" t="s">
        <v>557</v>
      </c>
      <c r="T208" s="17" t="s">
        <v>2240</v>
      </c>
      <c r="U208" s="16">
        <v>4309852</v>
      </c>
      <c r="V208" s="187">
        <v>2652</v>
      </c>
      <c r="W208" s="228" t="s">
        <v>1164</v>
      </c>
      <c r="X208" s="178" t="str">
        <f t="shared" si="33"/>
        <v>PJ07746</v>
      </c>
      <c r="Y208" s="178" t="s">
        <v>2374</v>
      </c>
      <c r="Z208" s="88" t="s">
        <v>294</v>
      </c>
      <c r="AA208" s="178" t="str">
        <f t="shared" si="34"/>
        <v>PJ07747</v>
      </c>
      <c r="AB208" s="178" t="s">
        <v>590</v>
      </c>
      <c r="AC208" s="88" t="s">
        <v>294</v>
      </c>
      <c r="AD208" s="187">
        <v>4225</v>
      </c>
      <c r="AE208" s="228" t="s">
        <v>583</v>
      </c>
      <c r="AF208" s="88" t="s">
        <v>330</v>
      </c>
      <c r="AG208" s="88" t="s">
        <v>413</v>
      </c>
      <c r="AH208" s="49" t="s">
        <v>2106</v>
      </c>
      <c r="AI208" s="20"/>
    </row>
    <row r="209" spans="1:35" ht="38.25">
      <c r="A209" s="16" t="s">
        <v>268</v>
      </c>
      <c r="B209" s="16" t="s">
        <v>1182</v>
      </c>
      <c r="C209" s="19" t="s">
        <v>552</v>
      </c>
      <c r="D209" s="19" t="s">
        <v>557</v>
      </c>
      <c r="E209" s="17" t="s">
        <v>578</v>
      </c>
      <c r="F209" s="178" t="s">
        <v>1604</v>
      </c>
      <c r="G209" s="16"/>
      <c r="H209" s="338" t="s">
        <v>1571</v>
      </c>
      <c r="I209" s="16" t="s">
        <v>539</v>
      </c>
      <c r="J209" s="337" t="s">
        <v>2415</v>
      </c>
      <c r="K209" s="16"/>
      <c r="L209" s="16" t="s">
        <v>277</v>
      </c>
      <c r="M209" s="16"/>
      <c r="N209" s="16"/>
      <c r="O209" s="16"/>
      <c r="P209" s="16"/>
      <c r="Q209" s="17" t="s">
        <v>294</v>
      </c>
      <c r="R209" s="16" t="str">
        <f t="shared" si="32"/>
        <v>SC07815</v>
      </c>
      <c r="S209" s="257" t="str">
        <f t="shared" si="32"/>
        <v>DO07016</v>
      </c>
      <c r="T209" s="17" t="s">
        <v>2238</v>
      </c>
      <c r="U209" s="16">
        <v>4309853</v>
      </c>
      <c r="V209" s="187">
        <v>2652</v>
      </c>
      <c r="W209" s="228" t="s">
        <v>1164</v>
      </c>
      <c r="X209" s="178" t="str">
        <f t="shared" si="33"/>
        <v>PJ07744</v>
      </c>
      <c r="Y209" s="178" t="s">
        <v>588</v>
      </c>
      <c r="Z209" s="88" t="s">
        <v>294</v>
      </c>
      <c r="AA209" s="178" t="str">
        <f t="shared" ref="AA209:AA240" si="35">IF(AG209="VEE", RIGHT(F209,7),"n/a")</f>
        <v>PJ07745</v>
      </c>
      <c r="AB209" s="178" t="s">
        <v>589</v>
      </c>
      <c r="AC209" s="88" t="s">
        <v>294</v>
      </c>
      <c r="AD209" s="187">
        <v>4225</v>
      </c>
      <c r="AE209" s="228" t="s">
        <v>583</v>
      </c>
      <c r="AF209" s="88" t="s">
        <v>330</v>
      </c>
      <c r="AG209" s="88" t="s">
        <v>413</v>
      </c>
      <c r="AH209" s="49" t="s">
        <v>2107</v>
      </c>
      <c r="AI209" s="20"/>
    </row>
    <row r="210" spans="1:35" ht="38.25">
      <c r="A210" s="16" t="s">
        <v>268</v>
      </c>
      <c r="B210" s="16" t="s">
        <v>1182</v>
      </c>
      <c r="C210" s="16" t="s">
        <v>553</v>
      </c>
      <c r="D210" s="16" t="s">
        <v>557</v>
      </c>
      <c r="E210" s="16" t="s">
        <v>579</v>
      </c>
      <c r="F210" s="178" t="s">
        <v>1624</v>
      </c>
      <c r="G210" s="16"/>
      <c r="H210" s="339" t="s">
        <v>1572</v>
      </c>
      <c r="I210" s="16" t="s">
        <v>539</v>
      </c>
      <c r="J210" s="337" t="s">
        <v>2415</v>
      </c>
      <c r="K210" s="16"/>
      <c r="L210" s="16" t="s">
        <v>277</v>
      </c>
      <c r="M210" s="16"/>
      <c r="N210" s="16"/>
      <c r="O210" s="16"/>
      <c r="P210" s="16"/>
      <c r="Q210" s="16" t="s">
        <v>294</v>
      </c>
      <c r="R210" s="16" t="str">
        <f t="shared" si="32"/>
        <v>SC07814</v>
      </c>
      <c r="S210" s="16" t="s">
        <v>557</v>
      </c>
      <c r="T210" s="17" t="s">
        <v>1584</v>
      </c>
      <c r="U210" s="16">
        <v>4309854</v>
      </c>
      <c r="V210" s="187">
        <v>2652</v>
      </c>
      <c r="W210" s="228" t="s">
        <v>1164</v>
      </c>
      <c r="X210" s="178" t="str">
        <f t="shared" si="33"/>
        <v>PJ07750</v>
      </c>
      <c r="Y210" s="16" t="s">
        <v>1856</v>
      </c>
      <c r="Z210" s="16" t="s">
        <v>294</v>
      </c>
      <c r="AA210" s="178" t="str">
        <f t="shared" si="35"/>
        <v>PJ07751</v>
      </c>
      <c r="AB210" s="16" t="s">
        <v>1857</v>
      </c>
      <c r="AC210" s="16" t="s">
        <v>294</v>
      </c>
      <c r="AD210" s="187">
        <v>4225</v>
      </c>
      <c r="AE210" s="228" t="s">
        <v>583</v>
      </c>
      <c r="AF210" s="88" t="s">
        <v>330</v>
      </c>
      <c r="AG210" s="88" t="s">
        <v>413</v>
      </c>
      <c r="AH210" s="49" t="s">
        <v>2108</v>
      </c>
      <c r="AI210" s="20"/>
    </row>
    <row r="211" spans="1:35" ht="63.75" customHeight="1">
      <c r="A211" s="16" t="s">
        <v>268</v>
      </c>
      <c r="B211" s="16" t="s">
        <v>1182</v>
      </c>
      <c r="C211" s="16" t="s">
        <v>554</v>
      </c>
      <c r="D211" s="16" t="s">
        <v>557</v>
      </c>
      <c r="E211" s="16" t="s">
        <v>580</v>
      </c>
      <c r="F211" s="178" t="s">
        <v>1624</v>
      </c>
      <c r="G211" s="16"/>
      <c r="H211" s="339" t="s">
        <v>1573</v>
      </c>
      <c r="I211" s="16" t="s">
        <v>539</v>
      </c>
      <c r="J211" s="337" t="s">
        <v>2415</v>
      </c>
      <c r="K211" s="16"/>
      <c r="L211" s="16" t="s">
        <v>277</v>
      </c>
      <c r="M211" s="16"/>
      <c r="N211" s="16"/>
      <c r="O211" s="16"/>
      <c r="P211" s="16"/>
      <c r="Q211" s="16" t="s">
        <v>294</v>
      </c>
      <c r="R211" s="16" t="str">
        <f t="shared" si="32"/>
        <v>SC07813</v>
      </c>
      <c r="S211" s="16" t="s">
        <v>557</v>
      </c>
      <c r="T211" s="17" t="s">
        <v>1583</v>
      </c>
      <c r="U211" s="16">
        <v>4309855</v>
      </c>
      <c r="V211" s="187">
        <v>2652</v>
      </c>
      <c r="W211" s="228" t="s">
        <v>1164</v>
      </c>
      <c r="X211" s="178" t="str">
        <f t="shared" si="33"/>
        <v>PJ07750</v>
      </c>
      <c r="Y211" s="16" t="s">
        <v>1856</v>
      </c>
      <c r="Z211" s="16" t="s">
        <v>294</v>
      </c>
      <c r="AA211" s="178" t="str">
        <f t="shared" si="35"/>
        <v>PJ07751</v>
      </c>
      <c r="AB211" s="16" t="s">
        <v>1857</v>
      </c>
      <c r="AC211" s="16" t="s">
        <v>294</v>
      </c>
      <c r="AD211" s="187">
        <v>4225</v>
      </c>
      <c r="AE211" s="228" t="s">
        <v>583</v>
      </c>
      <c r="AF211" s="88" t="s">
        <v>330</v>
      </c>
      <c r="AG211" s="88" t="s">
        <v>413</v>
      </c>
      <c r="AH211" s="49" t="s">
        <v>2109</v>
      </c>
      <c r="AI211" s="20"/>
    </row>
    <row r="212" spans="1:35" ht="25.5" customHeight="1">
      <c r="A212" s="16" t="s">
        <v>268</v>
      </c>
      <c r="B212" s="16" t="s">
        <v>1182</v>
      </c>
      <c r="C212" s="19" t="s">
        <v>128</v>
      </c>
      <c r="D212" s="19" t="s">
        <v>557</v>
      </c>
      <c r="E212" s="17" t="s">
        <v>145</v>
      </c>
      <c r="F212" s="16" t="s">
        <v>1610</v>
      </c>
      <c r="G212" s="16"/>
      <c r="H212" s="338" t="s">
        <v>2392</v>
      </c>
      <c r="I212" s="16" t="s">
        <v>539</v>
      </c>
      <c r="J212" s="16" t="s">
        <v>103</v>
      </c>
      <c r="K212" s="16"/>
      <c r="L212" s="16" t="s">
        <v>277</v>
      </c>
      <c r="M212" s="16"/>
      <c r="N212" s="16"/>
      <c r="O212" s="16"/>
      <c r="P212" s="16"/>
      <c r="Q212" s="17">
        <v>13</v>
      </c>
      <c r="R212" s="16" t="str">
        <f t="shared" si="32"/>
        <v>SC07812</v>
      </c>
      <c r="S212" s="19" t="s">
        <v>557</v>
      </c>
      <c r="T212" s="17" t="s">
        <v>1582</v>
      </c>
      <c r="U212" s="17">
        <v>4309856</v>
      </c>
      <c r="V212" s="187">
        <v>2652</v>
      </c>
      <c r="W212" s="228" t="s">
        <v>1164</v>
      </c>
      <c r="X212" s="178" t="str">
        <f t="shared" si="33"/>
        <v>PJ07811</v>
      </c>
      <c r="Y212" s="228" t="s">
        <v>1887</v>
      </c>
      <c r="Z212" s="88">
        <v>2896151</v>
      </c>
      <c r="AA212" s="178" t="str">
        <f t="shared" si="35"/>
        <v>PJ07812</v>
      </c>
      <c r="AB212" s="228" t="s">
        <v>1888</v>
      </c>
      <c r="AC212" s="88">
        <v>2896152</v>
      </c>
      <c r="AD212" s="187">
        <v>4225</v>
      </c>
      <c r="AE212" s="228" t="s">
        <v>583</v>
      </c>
      <c r="AF212" s="88" t="s">
        <v>330</v>
      </c>
      <c r="AG212" s="88" t="s">
        <v>413</v>
      </c>
      <c r="AH212" s="49" t="s">
        <v>2110</v>
      </c>
      <c r="AI212" s="20"/>
    </row>
    <row r="213" spans="1:35" ht="25.5" customHeight="1">
      <c r="A213" s="16" t="s">
        <v>268</v>
      </c>
      <c r="B213" s="16" t="s">
        <v>1374</v>
      </c>
      <c r="C213" s="19" t="s">
        <v>135</v>
      </c>
      <c r="D213" s="19" t="s">
        <v>556</v>
      </c>
      <c r="E213" s="17" t="s">
        <v>152</v>
      </c>
      <c r="F213" s="16" t="s">
        <v>1616</v>
      </c>
      <c r="G213" s="16"/>
      <c r="H213" s="338" t="s">
        <v>2398</v>
      </c>
      <c r="I213" s="16" t="s">
        <v>539</v>
      </c>
      <c r="J213" s="16" t="s">
        <v>103</v>
      </c>
      <c r="K213" s="16"/>
      <c r="L213" s="16" t="s">
        <v>277</v>
      </c>
      <c r="M213" s="16"/>
      <c r="N213" s="16"/>
      <c r="O213" s="16"/>
      <c r="P213" s="16"/>
      <c r="Q213" s="17">
        <v>26</v>
      </c>
      <c r="R213" s="16" t="str">
        <f t="shared" si="32"/>
        <v>SC07830</v>
      </c>
      <c r="S213" s="19" t="s">
        <v>556</v>
      </c>
      <c r="T213" s="17" t="s">
        <v>1591</v>
      </c>
      <c r="U213" s="17">
        <v>4309858</v>
      </c>
      <c r="V213" s="187">
        <v>2652</v>
      </c>
      <c r="W213" s="228" t="s">
        <v>1164</v>
      </c>
      <c r="X213" s="178" t="str">
        <f t="shared" si="33"/>
        <v>PJ07799</v>
      </c>
      <c r="Y213" s="228" t="s">
        <v>1882</v>
      </c>
      <c r="Z213" s="88" t="s">
        <v>294</v>
      </c>
      <c r="AA213" s="178" t="str">
        <f t="shared" si="35"/>
        <v>PJ07800</v>
      </c>
      <c r="AB213" s="228" t="s">
        <v>1883</v>
      </c>
      <c r="AC213" s="88" t="s">
        <v>294</v>
      </c>
      <c r="AD213" s="187">
        <v>4225</v>
      </c>
      <c r="AE213" s="228">
        <v>3607754</v>
      </c>
      <c r="AF213" s="88" t="s">
        <v>330</v>
      </c>
      <c r="AG213" s="88" t="s">
        <v>413</v>
      </c>
      <c r="AH213" s="49" t="s">
        <v>2111</v>
      </c>
      <c r="AI213" s="20"/>
    </row>
    <row r="214" spans="1:35" ht="63.75" customHeight="1">
      <c r="A214" s="16" t="s">
        <v>268</v>
      </c>
      <c r="B214" s="16" t="s">
        <v>1374</v>
      </c>
      <c r="C214" s="19" t="s">
        <v>134</v>
      </c>
      <c r="D214" s="19" t="s">
        <v>556</v>
      </c>
      <c r="E214" s="17" t="s">
        <v>151</v>
      </c>
      <c r="F214" s="16" t="s">
        <v>1615</v>
      </c>
      <c r="G214" s="16"/>
      <c r="H214" s="338" t="s">
        <v>2399</v>
      </c>
      <c r="I214" s="16" t="s">
        <v>539</v>
      </c>
      <c r="J214" s="16" t="s">
        <v>103</v>
      </c>
      <c r="K214" s="16"/>
      <c r="L214" s="16" t="s">
        <v>277</v>
      </c>
      <c r="M214" s="16"/>
      <c r="N214" s="16"/>
      <c r="O214" s="16"/>
      <c r="P214" s="16"/>
      <c r="Q214" s="17">
        <v>19</v>
      </c>
      <c r="R214" s="16" t="str">
        <f t="shared" si="32"/>
        <v>SC07829</v>
      </c>
      <c r="S214" s="19" t="s">
        <v>556</v>
      </c>
      <c r="T214" s="17" t="s">
        <v>1589</v>
      </c>
      <c r="U214" s="17">
        <v>4309859</v>
      </c>
      <c r="V214" s="187">
        <v>2652</v>
      </c>
      <c r="W214" s="228" t="s">
        <v>1164</v>
      </c>
      <c r="X214" s="178" t="str">
        <f t="shared" si="33"/>
        <v>PJ07797</v>
      </c>
      <c r="Y214" s="228" t="s">
        <v>1880</v>
      </c>
      <c r="Z214" s="88" t="s">
        <v>294</v>
      </c>
      <c r="AA214" s="178" t="str">
        <f t="shared" si="35"/>
        <v>PJ07798</v>
      </c>
      <c r="AB214" s="228" t="s">
        <v>1881</v>
      </c>
      <c r="AC214" s="88" t="s">
        <v>294</v>
      </c>
      <c r="AD214" s="187">
        <v>4225</v>
      </c>
      <c r="AE214" s="228">
        <v>3607754</v>
      </c>
      <c r="AF214" s="88" t="s">
        <v>330</v>
      </c>
      <c r="AG214" s="88" t="s">
        <v>413</v>
      </c>
      <c r="AH214" s="49" t="s">
        <v>2112</v>
      </c>
      <c r="AI214" s="20"/>
    </row>
    <row r="215" spans="1:35" ht="76.5" customHeight="1">
      <c r="A215" s="16" t="s">
        <v>268</v>
      </c>
      <c r="B215" s="16" t="s">
        <v>1182</v>
      </c>
      <c r="C215" s="19" t="s">
        <v>548</v>
      </c>
      <c r="D215" s="16" t="s">
        <v>564</v>
      </c>
      <c r="E215" s="19" t="s">
        <v>142</v>
      </c>
      <c r="F215" s="229" t="s">
        <v>1608</v>
      </c>
      <c r="G215" s="16" t="s">
        <v>539</v>
      </c>
      <c r="H215" s="338" t="s">
        <v>2389</v>
      </c>
      <c r="I215" s="16" t="s">
        <v>539</v>
      </c>
      <c r="J215" s="16" t="s">
        <v>103</v>
      </c>
      <c r="K215" s="17"/>
      <c r="L215" s="17" t="s">
        <v>277</v>
      </c>
      <c r="M215" s="17"/>
      <c r="N215" s="17"/>
      <c r="O215" s="88"/>
      <c r="P215" s="88"/>
      <c r="Q215" s="88">
        <v>27</v>
      </c>
      <c r="R215" s="16" t="str">
        <f t="shared" ref="R215:R220" si="36">C215</f>
        <v>SC07792</v>
      </c>
      <c r="S215" s="16" t="s">
        <v>564</v>
      </c>
      <c r="T215" s="88" t="s">
        <v>1809</v>
      </c>
      <c r="U215" s="88">
        <v>2873666</v>
      </c>
      <c r="V215" s="187">
        <v>2652</v>
      </c>
      <c r="W215" s="230" t="s">
        <v>581</v>
      </c>
      <c r="X215" s="178" t="str">
        <f t="shared" ref="X215:X262" si="37">LEFT(F215,7)</f>
        <v>PJ07742</v>
      </c>
      <c r="Y215" s="228" t="s">
        <v>1854</v>
      </c>
      <c r="Z215" s="88">
        <v>2896135</v>
      </c>
      <c r="AA215" s="178" t="str">
        <f t="shared" si="35"/>
        <v>PJ07743</v>
      </c>
      <c r="AB215" s="228" t="s">
        <v>1855</v>
      </c>
      <c r="AC215" s="88">
        <v>2896136</v>
      </c>
      <c r="AD215" s="187">
        <v>4225</v>
      </c>
      <c r="AE215" s="228" t="s">
        <v>583</v>
      </c>
      <c r="AF215" s="88" t="s">
        <v>330</v>
      </c>
      <c r="AG215" s="88" t="s">
        <v>413</v>
      </c>
      <c r="AH215" s="49" t="s">
        <v>2113</v>
      </c>
      <c r="AI215" s="20"/>
    </row>
    <row r="216" spans="1:35" ht="76.5" customHeight="1">
      <c r="A216" s="178" t="s">
        <v>268</v>
      </c>
      <c r="B216" s="178" t="s">
        <v>1177</v>
      </c>
      <c r="C216" s="88" t="s">
        <v>541</v>
      </c>
      <c r="D216" s="88" t="s">
        <v>1178</v>
      </c>
      <c r="E216" s="88" t="s">
        <v>1179</v>
      </c>
      <c r="F216" s="178" t="s">
        <v>1180</v>
      </c>
      <c r="G216" s="231"/>
      <c r="H216" s="340" t="s">
        <v>1323</v>
      </c>
      <c r="I216" s="16" t="s">
        <v>351</v>
      </c>
      <c r="J216" s="178" t="s">
        <v>1199</v>
      </c>
      <c r="K216" s="231"/>
      <c r="L216" s="178" t="s">
        <v>277</v>
      </c>
      <c r="M216" s="232"/>
      <c r="N216" s="232"/>
      <c r="O216" s="232"/>
      <c r="P216" s="233"/>
      <c r="Q216" s="88">
        <v>65</v>
      </c>
      <c r="R216" s="88" t="str">
        <f t="shared" si="36"/>
        <v>SC07783</v>
      </c>
      <c r="S216" s="88" t="str">
        <f>D216</f>
        <v>DO0716</v>
      </c>
      <c r="T216" s="88" t="s">
        <v>1181</v>
      </c>
      <c r="U216" s="88">
        <v>4309832</v>
      </c>
      <c r="V216" s="187">
        <v>2652</v>
      </c>
      <c r="W216" s="178" t="s">
        <v>1164</v>
      </c>
      <c r="X216" s="178" t="str">
        <f t="shared" si="37"/>
        <v>PJ07740</v>
      </c>
      <c r="Y216" s="178" t="s">
        <v>2373</v>
      </c>
      <c r="Z216" s="88" t="s">
        <v>294</v>
      </c>
      <c r="AA216" s="178" t="str">
        <f t="shared" si="35"/>
        <v>PJ07741</v>
      </c>
      <c r="AB216" s="178" t="s">
        <v>1853</v>
      </c>
      <c r="AC216" s="88" t="s">
        <v>294</v>
      </c>
      <c r="AD216" s="187">
        <v>4225</v>
      </c>
      <c r="AE216" s="228" t="s">
        <v>583</v>
      </c>
      <c r="AF216" s="88" t="s">
        <v>330</v>
      </c>
      <c r="AG216" s="88" t="s">
        <v>413</v>
      </c>
      <c r="AH216" s="49" t="s">
        <v>2114</v>
      </c>
      <c r="AI216" s="20"/>
    </row>
    <row r="217" spans="1:35" ht="76.5" customHeight="1">
      <c r="A217" s="178" t="s">
        <v>268</v>
      </c>
      <c r="B217" s="178" t="s">
        <v>1182</v>
      </c>
      <c r="C217" s="88" t="s">
        <v>540</v>
      </c>
      <c r="D217" s="88" t="s">
        <v>1178</v>
      </c>
      <c r="E217" s="88" t="s">
        <v>1183</v>
      </c>
      <c r="F217" s="178" t="s">
        <v>1608</v>
      </c>
      <c r="G217" s="231"/>
      <c r="H217" s="340" t="s">
        <v>1574</v>
      </c>
      <c r="I217" s="16" t="s">
        <v>351</v>
      </c>
      <c r="J217" s="178" t="s">
        <v>1199</v>
      </c>
      <c r="K217" s="231"/>
      <c r="L217" s="178" t="s">
        <v>277</v>
      </c>
      <c r="M217" s="232"/>
      <c r="N217" s="232"/>
      <c r="O217" s="232"/>
      <c r="P217" s="233"/>
      <c r="Q217" s="88">
        <v>67</v>
      </c>
      <c r="R217" s="88" t="str">
        <f t="shared" si="36"/>
        <v>SC07784</v>
      </c>
      <c r="S217" s="88" t="str">
        <f>D217</f>
        <v>DO0716</v>
      </c>
      <c r="T217" s="88" t="s">
        <v>1184</v>
      </c>
      <c r="U217" s="88">
        <v>4309831</v>
      </c>
      <c r="V217" s="187">
        <v>2652</v>
      </c>
      <c r="W217" s="178" t="s">
        <v>1164</v>
      </c>
      <c r="X217" s="178" t="str">
        <f t="shared" si="37"/>
        <v>PJ07742</v>
      </c>
      <c r="Y217" s="178" t="s">
        <v>1854</v>
      </c>
      <c r="Z217" s="88" t="s">
        <v>294</v>
      </c>
      <c r="AA217" s="178" t="str">
        <f t="shared" si="35"/>
        <v>PJ07743</v>
      </c>
      <c r="AB217" s="178" t="s">
        <v>1855</v>
      </c>
      <c r="AC217" s="88" t="s">
        <v>294</v>
      </c>
      <c r="AD217" s="187">
        <v>4225</v>
      </c>
      <c r="AE217" s="228" t="s">
        <v>583</v>
      </c>
      <c r="AF217" s="88" t="s">
        <v>330</v>
      </c>
      <c r="AG217" s="88" t="s">
        <v>413</v>
      </c>
      <c r="AH217" s="49" t="s">
        <v>2115</v>
      </c>
      <c r="AI217" s="20"/>
    </row>
    <row r="218" spans="1:35" ht="76.5" customHeight="1">
      <c r="A218" s="178" t="s">
        <v>268</v>
      </c>
      <c r="B218" s="178" t="s">
        <v>1182</v>
      </c>
      <c r="C218" s="88" t="s">
        <v>543</v>
      </c>
      <c r="D218" s="88" t="s">
        <v>557</v>
      </c>
      <c r="E218" s="88" t="s">
        <v>1185</v>
      </c>
      <c r="F218" s="178" t="s">
        <v>1624</v>
      </c>
      <c r="G218" s="231"/>
      <c r="H218" s="340" t="s">
        <v>1329</v>
      </c>
      <c r="I218" s="16" t="s">
        <v>351</v>
      </c>
      <c r="J218" s="178" t="s">
        <v>1199</v>
      </c>
      <c r="K218" s="231"/>
      <c r="L218" s="178" t="s">
        <v>277</v>
      </c>
      <c r="M218" s="232"/>
      <c r="N218" s="232"/>
      <c r="O218" s="232"/>
      <c r="P218" s="233"/>
      <c r="Q218" s="88">
        <v>60</v>
      </c>
      <c r="R218" s="88" t="str">
        <f t="shared" si="36"/>
        <v>SC07799</v>
      </c>
      <c r="S218" s="88" t="str">
        <f>D218</f>
        <v>DO07016</v>
      </c>
      <c r="T218" s="88" t="s">
        <v>2041</v>
      </c>
      <c r="U218" s="88">
        <v>4309838</v>
      </c>
      <c r="V218" s="187">
        <v>2652</v>
      </c>
      <c r="W218" s="178" t="s">
        <v>1164</v>
      </c>
      <c r="X218" s="178" t="str">
        <f t="shared" si="37"/>
        <v>PJ07750</v>
      </c>
      <c r="Y218" s="178" t="s">
        <v>1856</v>
      </c>
      <c r="Z218" s="88" t="s">
        <v>294</v>
      </c>
      <c r="AA218" s="178" t="str">
        <f t="shared" si="35"/>
        <v>PJ07751</v>
      </c>
      <c r="AB218" s="178" t="s">
        <v>1857</v>
      </c>
      <c r="AC218" s="88" t="s">
        <v>294</v>
      </c>
      <c r="AD218" s="187">
        <v>4225</v>
      </c>
      <c r="AE218" s="228" t="s">
        <v>583</v>
      </c>
      <c r="AF218" s="88" t="s">
        <v>330</v>
      </c>
      <c r="AG218" s="88" t="s">
        <v>413</v>
      </c>
      <c r="AH218" s="49" t="s">
        <v>2116</v>
      </c>
      <c r="AI218" s="20"/>
    </row>
    <row r="219" spans="1:35" ht="76.5" customHeight="1">
      <c r="A219" s="178" t="s">
        <v>268</v>
      </c>
      <c r="B219" s="178" t="s">
        <v>1182</v>
      </c>
      <c r="C219" s="88" t="s">
        <v>555</v>
      </c>
      <c r="D219" s="88" t="s">
        <v>557</v>
      </c>
      <c r="E219" s="88" t="s">
        <v>1186</v>
      </c>
      <c r="F219" s="178" t="s">
        <v>1625</v>
      </c>
      <c r="G219" s="231"/>
      <c r="H219" s="340" t="s">
        <v>1331</v>
      </c>
      <c r="I219" s="16" t="s">
        <v>415</v>
      </c>
      <c r="J219" s="178" t="s">
        <v>1199</v>
      </c>
      <c r="K219" s="231"/>
      <c r="L219" s="178" t="s">
        <v>277</v>
      </c>
      <c r="M219" s="232"/>
      <c r="N219" s="232"/>
      <c r="O219" s="232"/>
      <c r="P219" s="233"/>
      <c r="Q219" s="88">
        <v>66</v>
      </c>
      <c r="R219" s="88" t="str">
        <f t="shared" si="36"/>
        <v>SC07821</v>
      </c>
      <c r="S219" s="88" t="str">
        <f>D219</f>
        <v>DO07016</v>
      </c>
      <c r="T219" s="88" t="s">
        <v>2246</v>
      </c>
      <c r="U219" s="88">
        <v>4309857</v>
      </c>
      <c r="V219" s="187">
        <v>2652</v>
      </c>
      <c r="W219" s="178" t="s">
        <v>1164</v>
      </c>
      <c r="X219" s="178" t="str">
        <f t="shared" si="37"/>
        <v>PJ07752</v>
      </c>
      <c r="Y219" s="178" t="s">
        <v>1858</v>
      </c>
      <c r="Z219" s="88" t="s">
        <v>294</v>
      </c>
      <c r="AA219" s="178" t="str">
        <f t="shared" si="35"/>
        <v>PJ07753</v>
      </c>
      <c r="AB219" s="178" t="s">
        <v>1859</v>
      </c>
      <c r="AC219" s="88" t="s">
        <v>294</v>
      </c>
      <c r="AD219" s="187">
        <v>4225</v>
      </c>
      <c r="AE219" s="228" t="s">
        <v>583</v>
      </c>
      <c r="AF219" s="88" t="s">
        <v>330</v>
      </c>
      <c r="AG219" s="88" t="s">
        <v>413</v>
      </c>
      <c r="AH219" s="49" t="s">
        <v>2117</v>
      </c>
      <c r="AI219" s="20"/>
    </row>
    <row r="220" spans="1:35" ht="76.5" customHeight="1">
      <c r="A220" s="178" t="s">
        <v>268</v>
      </c>
      <c r="B220" s="178" t="s">
        <v>1182</v>
      </c>
      <c r="C220" s="234" t="s">
        <v>1291</v>
      </c>
      <c r="D220" s="234" t="s">
        <v>1290</v>
      </c>
      <c r="E220" s="234" t="s">
        <v>1179</v>
      </c>
      <c r="F220" s="235" t="s">
        <v>1289</v>
      </c>
      <c r="G220" s="178"/>
      <c r="H220" s="340" t="s">
        <v>1323</v>
      </c>
      <c r="I220" s="16" t="s">
        <v>351</v>
      </c>
      <c r="J220" s="178" t="s">
        <v>1199</v>
      </c>
      <c r="K220" s="178"/>
      <c r="L220" s="178" t="s">
        <v>277</v>
      </c>
      <c r="M220" s="88"/>
      <c r="N220" s="88"/>
      <c r="O220" s="88"/>
      <c r="P220" s="88"/>
      <c r="Q220" s="88">
        <v>65</v>
      </c>
      <c r="R220" s="88" t="str">
        <f t="shared" si="36"/>
        <v>SC07751</v>
      </c>
      <c r="S220" s="88" t="str">
        <f>D220</f>
        <v>DO07012</v>
      </c>
      <c r="T220" s="234" t="s">
        <v>294</v>
      </c>
      <c r="U220" s="88">
        <v>4013598</v>
      </c>
      <c r="V220" s="187">
        <v>2624</v>
      </c>
      <c r="W220" s="178">
        <v>3426369</v>
      </c>
      <c r="X220" s="178" t="str">
        <f t="shared" si="37"/>
        <v>PJ07709</v>
      </c>
      <c r="Y220" s="235" t="s">
        <v>294</v>
      </c>
      <c r="Z220" s="88">
        <v>4013600</v>
      </c>
      <c r="AA220" s="178" t="str">
        <f t="shared" si="35"/>
        <v>PJ07710</v>
      </c>
      <c r="AB220" s="235" t="s">
        <v>294</v>
      </c>
      <c r="AC220" s="88">
        <v>4013601</v>
      </c>
      <c r="AD220" s="187">
        <v>3202</v>
      </c>
      <c r="AE220" s="178" t="s">
        <v>294</v>
      </c>
      <c r="AF220" s="88" t="s">
        <v>330</v>
      </c>
      <c r="AG220" s="88" t="s">
        <v>413</v>
      </c>
      <c r="AH220" s="49" t="s">
        <v>2118</v>
      </c>
      <c r="AI220" s="20"/>
    </row>
    <row r="221" spans="1:35" ht="76.5" customHeight="1">
      <c r="A221" s="178" t="s">
        <v>268</v>
      </c>
      <c r="B221" s="178" t="s">
        <v>1182</v>
      </c>
      <c r="C221" s="234" t="s">
        <v>1292</v>
      </c>
      <c r="D221" s="234" t="s">
        <v>1290</v>
      </c>
      <c r="E221" s="234" t="s">
        <v>137</v>
      </c>
      <c r="F221" s="235" t="s">
        <v>1289</v>
      </c>
      <c r="G221" s="178"/>
      <c r="H221" s="340" t="s">
        <v>2406</v>
      </c>
      <c r="I221" s="16" t="s">
        <v>351</v>
      </c>
      <c r="J221" s="178" t="s">
        <v>1199</v>
      </c>
      <c r="K221" s="178"/>
      <c r="L221" s="178" t="s">
        <v>277</v>
      </c>
      <c r="M221" s="88"/>
      <c r="N221" s="88"/>
      <c r="O221" s="88"/>
      <c r="P221" s="88"/>
      <c r="Q221" s="88">
        <v>23</v>
      </c>
      <c r="R221" s="88" t="str">
        <f t="shared" ref="R221:R261" si="38">C221</f>
        <v>SC07752</v>
      </c>
      <c r="S221" s="88" t="str">
        <f t="shared" ref="S221:S261" si="39">D221</f>
        <v>DO07012</v>
      </c>
      <c r="T221" s="234" t="s">
        <v>294</v>
      </c>
      <c r="U221" s="88">
        <v>4103599</v>
      </c>
      <c r="V221" s="187">
        <v>2624</v>
      </c>
      <c r="W221" s="178">
        <v>3426369</v>
      </c>
      <c r="X221" s="178" t="str">
        <f t="shared" si="37"/>
        <v>PJ07709</v>
      </c>
      <c r="Y221" s="235" t="s">
        <v>294</v>
      </c>
      <c r="Z221" s="88">
        <v>4013600</v>
      </c>
      <c r="AA221" s="178" t="str">
        <f t="shared" si="35"/>
        <v>PJ07710</v>
      </c>
      <c r="AB221" s="235" t="s">
        <v>294</v>
      </c>
      <c r="AC221" s="88">
        <v>4013601</v>
      </c>
      <c r="AD221" s="187">
        <v>3202</v>
      </c>
      <c r="AE221" s="178" t="s">
        <v>294</v>
      </c>
      <c r="AF221" s="88" t="s">
        <v>330</v>
      </c>
      <c r="AG221" s="88" t="s">
        <v>413</v>
      </c>
      <c r="AH221" s="49" t="s">
        <v>2119</v>
      </c>
      <c r="AI221" s="20"/>
    </row>
    <row r="222" spans="1:35" ht="76.5" customHeight="1">
      <c r="A222" s="177" t="s">
        <v>268</v>
      </c>
      <c r="B222" s="178" t="s">
        <v>1182</v>
      </c>
      <c r="C222" s="221" t="s">
        <v>1292</v>
      </c>
      <c r="D222" s="221" t="s">
        <v>1290</v>
      </c>
      <c r="E222" s="221" t="s">
        <v>136</v>
      </c>
      <c r="F222" s="222" t="s">
        <v>1289</v>
      </c>
      <c r="G222" s="177"/>
      <c r="H222" s="340" t="s">
        <v>2405</v>
      </c>
      <c r="I222" s="16" t="s">
        <v>351</v>
      </c>
      <c r="J222" s="178" t="s">
        <v>1199</v>
      </c>
      <c r="K222" s="177"/>
      <c r="L222" s="177" t="s">
        <v>277</v>
      </c>
      <c r="M222" s="168"/>
      <c r="N222" s="168"/>
      <c r="O222" s="168"/>
      <c r="P222" s="168"/>
      <c r="Q222" s="168">
        <v>21</v>
      </c>
      <c r="R222" s="168" t="str">
        <f t="shared" si="38"/>
        <v>SC07752</v>
      </c>
      <c r="S222" s="168" t="str">
        <f t="shared" si="39"/>
        <v>DO07012</v>
      </c>
      <c r="T222" s="221" t="s">
        <v>294</v>
      </c>
      <c r="U222" s="168">
        <v>4013599</v>
      </c>
      <c r="V222" s="320">
        <v>2624</v>
      </c>
      <c r="W222" s="177">
        <v>3426369</v>
      </c>
      <c r="X222" s="177" t="str">
        <f t="shared" si="37"/>
        <v>PJ07709</v>
      </c>
      <c r="Y222" s="222" t="s">
        <v>294</v>
      </c>
      <c r="Z222" s="168">
        <v>4013600</v>
      </c>
      <c r="AA222" s="177" t="str">
        <f t="shared" si="35"/>
        <v>PJ07710</v>
      </c>
      <c r="AB222" s="222" t="s">
        <v>294</v>
      </c>
      <c r="AC222" s="168">
        <v>4013601</v>
      </c>
      <c r="AD222" s="320">
        <v>3202</v>
      </c>
      <c r="AE222" s="177" t="s">
        <v>294</v>
      </c>
      <c r="AF222" s="168" t="s">
        <v>330</v>
      </c>
      <c r="AG222" s="168" t="s">
        <v>413</v>
      </c>
      <c r="AH222" s="49" t="s">
        <v>2120</v>
      </c>
      <c r="AI222" s="20"/>
    </row>
    <row r="223" spans="1:35" ht="76.5" customHeight="1">
      <c r="A223" s="177" t="s">
        <v>268</v>
      </c>
      <c r="B223" s="178" t="s">
        <v>1182</v>
      </c>
      <c r="C223" s="168" t="s">
        <v>1293</v>
      </c>
      <c r="D223" s="168" t="s">
        <v>1195</v>
      </c>
      <c r="E223" s="168" t="s">
        <v>1179</v>
      </c>
      <c r="F223" s="177" t="s">
        <v>1295</v>
      </c>
      <c r="G223" s="177"/>
      <c r="H223" s="340" t="s">
        <v>1323</v>
      </c>
      <c r="I223" s="16" t="s">
        <v>351</v>
      </c>
      <c r="J223" s="178" t="s">
        <v>1199</v>
      </c>
      <c r="K223" s="177"/>
      <c r="L223" s="177" t="s">
        <v>277</v>
      </c>
      <c r="M223" s="168"/>
      <c r="N223" s="168"/>
      <c r="O223" s="168"/>
      <c r="P223" s="168"/>
      <c r="Q223" s="168">
        <v>65</v>
      </c>
      <c r="R223" s="168" t="str">
        <f t="shared" si="38"/>
        <v>SC07753</v>
      </c>
      <c r="S223" s="168" t="str">
        <f t="shared" si="39"/>
        <v>DO07013</v>
      </c>
      <c r="T223" s="269" t="s">
        <v>2019</v>
      </c>
      <c r="U223" s="168">
        <v>4014444</v>
      </c>
      <c r="V223" s="320">
        <v>2652</v>
      </c>
      <c r="W223" s="177">
        <v>3426369</v>
      </c>
      <c r="X223" s="177" t="str">
        <f t="shared" si="37"/>
        <v>PJ07711</v>
      </c>
      <c r="Y223" s="177" t="s">
        <v>1350</v>
      </c>
      <c r="Z223" s="168">
        <v>4014417</v>
      </c>
      <c r="AA223" s="177" t="str">
        <f t="shared" si="35"/>
        <v>PJ07712</v>
      </c>
      <c r="AB223" s="177" t="s">
        <v>1351</v>
      </c>
      <c r="AC223" s="168">
        <v>4014418</v>
      </c>
      <c r="AD223" s="320">
        <v>4225</v>
      </c>
      <c r="AE223" s="177" t="s">
        <v>583</v>
      </c>
      <c r="AF223" s="168" t="s">
        <v>330</v>
      </c>
      <c r="AG223" s="168" t="s">
        <v>413</v>
      </c>
      <c r="AH223" s="49" t="s">
        <v>2121</v>
      </c>
      <c r="AI223" s="20"/>
    </row>
    <row r="224" spans="1:35" ht="76.5" customHeight="1">
      <c r="A224" s="177" t="s">
        <v>268</v>
      </c>
      <c r="B224" s="178" t="s">
        <v>1182</v>
      </c>
      <c r="C224" s="168" t="s">
        <v>1294</v>
      </c>
      <c r="D224" s="168" t="s">
        <v>1195</v>
      </c>
      <c r="E224" s="168" t="s">
        <v>137</v>
      </c>
      <c r="F224" s="177" t="s">
        <v>1295</v>
      </c>
      <c r="G224" s="177"/>
      <c r="H224" s="340" t="s">
        <v>2406</v>
      </c>
      <c r="I224" s="16" t="s">
        <v>351</v>
      </c>
      <c r="J224" s="178" t="s">
        <v>1199</v>
      </c>
      <c r="K224" s="177"/>
      <c r="L224" s="177" t="s">
        <v>277</v>
      </c>
      <c r="M224" s="168"/>
      <c r="N224" s="168"/>
      <c r="O224" s="168"/>
      <c r="P224" s="168"/>
      <c r="Q224" s="168">
        <v>23</v>
      </c>
      <c r="R224" s="168" t="str">
        <f t="shared" si="38"/>
        <v>SC07754</v>
      </c>
      <c r="S224" s="168" t="str">
        <f t="shared" si="39"/>
        <v>DO07013</v>
      </c>
      <c r="T224" s="290" t="s">
        <v>2206</v>
      </c>
      <c r="U224" s="168">
        <v>4014445</v>
      </c>
      <c r="V224" s="320">
        <v>2652</v>
      </c>
      <c r="W224" s="177">
        <v>3426369</v>
      </c>
      <c r="X224" s="177" t="str">
        <f t="shared" si="37"/>
        <v>PJ07711</v>
      </c>
      <c r="Y224" s="177" t="s">
        <v>1350</v>
      </c>
      <c r="Z224" s="168">
        <v>4014417</v>
      </c>
      <c r="AA224" s="177" t="str">
        <f t="shared" si="35"/>
        <v>PJ07712</v>
      </c>
      <c r="AB224" s="177" t="s">
        <v>1351</v>
      </c>
      <c r="AC224" s="168">
        <v>4014418</v>
      </c>
      <c r="AD224" s="320">
        <v>4225</v>
      </c>
      <c r="AE224" s="177" t="s">
        <v>583</v>
      </c>
      <c r="AF224" s="168" t="s">
        <v>330</v>
      </c>
      <c r="AG224" s="168" t="s">
        <v>413</v>
      </c>
      <c r="AH224" s="49" t="s">
        <v>2122</v>
      </c>
      <c r="AI224" s="20"/>
    </row>
    <row r="225" spans="1:35" ht="76.5" customHeight="1">
      <c r="A225" s="177" t="s">
        <v>268</v>
      </c>
      <c r="B225" s="178" t="s">
        <v>1182</v>
      </c>
      <c r="C225" s="221" t="s">
        <v>1294</v>
      </c>
      <c r="D225" s="221" t="s">
        <v>1195</v>
      </c>
      <c r="E225" s="221" t="s">
        <v>136</v>
      </c>
      <c r="F225" s="177" t="s">
        <v>1295</v>
      </c>
      <c r="G225" s="177"/>
      <c r="H225" s="340" t="s">
        <v>2405</v>
      </c>
      <c r="I225" s="16" t="s">
        <v>351</v>
      </c>
      <c r="J225" s="178" t="s">
        <v>1199</v>
      </c>
      <c r="K225" s="177"/>
      <c r="L225" s="177" t="s">
        <v>277</v>
      </c>
      <c r="M225" s="168"/>
      <c r="N225" s="168"/>
      <c r="O225" s="168"/>
      <c r="P225" s="168"/>
      <c r="Q225" s="168">
        <v>21</v>
      </c>
      <c r="R225" s="168" t="str">
        <f t="shared" si="38"/>
        <v>SC07754</v>
      </c>
      <c r="S225" s="168" t="str">
        <f t="shared" si="39"/>
        <v>DO07013</v>
      </c>
      <c r="T225" s="221" t="s">
        <v>294</v>
      </c>
      <c r="U225" s="88" t="s">
        <v>294</v>
      </c>
      <c r="V225" s="320">
        <v>2652</v>
      </c>
      <c r="W225" s="177">
        <v>3426369</v>
      </c>
      <c r="X225" s="177" t="str">
        <f t="shared" si="37"/>
        <v>PJ07711</v>
      </c>
      <c r="Y225" s="177" t="s">
        <v>1350</v>
      </c>
      <c r="Z225" s="168">
        <v>4014417</v>
      </c>
      <c r="AA225" s="177" t="str">
        <f t="shared" si="35"/>
        <v>PJ07712</v>
      </c>
      <c r="AB225" s="177" t="s">
        <v>1351</v>
      </c>
      <c r="AC225" s="168">
        <v>4014418</v>
      </c>
      <c r="AD225" s="320">
        <v>4225</v>
      </c>
      <c r="AE225" s="177" t="s">
        <v>583</v>
      </c>
      <c r="AF225" s="168" t="s">
        <v>330</v>
      </c>
      <c r="AG225" s="168" t="s">
        <v>413</v>
      </c>
      <c r="AH225" s="49" t="s">
        <v>2123</v>
      </c>
      <c r="AI225" s="20"/>
    </row>
    <row r="226" spans="1:35" ht="76.5" customHeight="1">
      <c r="A226" s="177" t="s">
        <v>268</v>
      </c>
      <c r="B226" s="178" t="s">
        <v>1182</v>
      </c>
      <c r="C226" s="168" t="s">
        <v>1296</v>
      </c>
      <c r="D226" s="168" t="s">
        <v>1195</v>
      </c>
      <c r="E226" s="168" t="s">
        <v>563</v>
      </c>
      <c r="F226" s="177" t="s">
        <v>1298</v>
      </c>
      <c r="G226" s="177"/>
      <c r="H226" s="340" t="s">
        <v>1332</v>
      </c>
      <c r="I226" s="16" t="s">
        <v>351</v>
      </c>
      <c r="J226" s="178" t="s">
        <v>1199</v>
      </c>
      <c r="K226" s="177"/>
      <c r="L226" s="177" t="s">
        <v>277</v>
      </c>
      <c r="M226" s="168"/>
      <c r="N226" s="168"/>
      <c r="O226" s="168"/>
      <c r="P226" s="168"/>
      <c r="Q226" s="168">
        <v>66</v>
      </c>
      <c r="R226" s="168" t="str">
        <f t="shared" si="38"/>
        <v>SC07756</v>
      </c>
      <c r="S226" s="168" t="str">
        <f t="shared" si="39"/>
        <v>DO07013</v>
      </c>
      <c r="T226" s="269" t="s">
        <v>2020</v>
      </c>
      <c r="U226" s="168">
        <v>4014447</v>
      </c>
      <c r="V226" s="320">
        <v>2652</v>
      </c>
      <c r="W226" s="177">
        <v>3426369</v>
      </c>
      <c r="X226" s="177" t="str">
        <f t="shared" si="37"/>
        <v>PJ07713</v>
      </c>
      <c r="Y226" s="177" t="s">
        <v>1352</v>
      </c>
      <c r="Z226" s="168">
        <v>4014419</v>
      </c>
      <c r="AA226" s="177" t="str">
        <f t="shared" si="35"/>
        <v>PJ07714</v>
      </c>
      <c r="AB226" s="177" t="s">
        <v>1353</v>
      </c>
      <c r="AC226" s="168">
        <v>4014420</v>
      </c>
      <c r="AD226" s="320">
        <v>4225</v>
      </c>
      <c r="AE226" s="177" t="s">
        <v>583</v>
      </c>
      <c r="AF226" s="168" t="s">
        <v>330</v>
      </c>
      <c r="AG226" s="168" t="s">
        <v>413</v>
      </c>
      <c r="AH226" s="49" t="s">
        <v>2124</v>
      </c>
      <c r="AI226" s="20"/>
    </row>
    <row r="227" spans="1:35" ht="76.5" customHeight="1">
      <c r="A227" s="177" t="s">
        <v>268</v>
      </c>
      <c r="B227" s="178" t="s">
        <v>1182</v>
      </c>
      <c r="C227" s="221" t="s">
        <v>1296</v>
      </c>
      <c r="D227" s="221" t="s">
        <v>1195</v>
      </c>
      <c r="E227" s="221" t="s">
        <v>1183</v>
      </c>
      <c r="F227" s="177" t="s">
        <v>1298</v>
      </c>
      <c r="G227" s="177"/>
      <c r="H227" s="340" t="s">
        <v>1324</v>
      </c>
      <c r="I227" s="16" t="s">
        <v>351</v>
      </c>
      <c r="J227" s="178" t="s">
        <v>1199</v>
      </c>
      <c r="K227" s="177"/>
      <c r="L227" s="177" t="s">
        <v>277</v>
      </c>
      <c r="M227" s="168"/>
      <c r="N227" s="168"/>
      <c r="O227" s="168"/>
      <c r="P227" s="168"/>
      <c r="Q227" s="168">
        <v>67</v>
      </c>
      <c r="R227" s="168" t="str">
        <f t="shared" si="38"/>
        <v>SC07756</v>
      </c>
      <c r="S227" s="168" t="str">
        <f t="shared" si="39"/>
        <v>DO07013</v>
      </c>
      <c r="T227" s="221" t="s">
        <v>294</v>
      </c>
      <c r="U227" s="168" t="s">
        <v>294</v>
      </c>
      <c r="V227" s="320">
        <v>2652</v>
      </c>
      <c r="W227" s="177">
        <v>3426369</v>
      </c>
      <c r="X227" s="177" t="str">
        <f t="shared" si="37"/>
        <v>PJ07713</v>
      </c>
      <c r="Y227" s="177" t="s">
        <v>1352</v>
      </c>
      <c r="Z227" s="168">
        <v>4014419</v>
      </c>
      <c r="AA227" s="177" t="str">
        <f t="shared" si="35"/>
        <v>PJ07714</v>
      </c>
      <c r="AB227" s="177" t="s">
        <v>1353</v>
      </c>
      <c r="AC227" s="168">
        <v>4014420</v>
      </c>
      <c r="AD227" s="320">
        <v>4225</v>
      </c>
      <c r="AE227" s="177" t="s">
        <v>583</v>
      </c>
      <c r="AF227" s="168" t="s">
        <v>330</v>
      </c>
      <c r="AG227" s="168" t="s">
        <v>413</v>
      </c>
      <c r="AH227" s="49" t="s">
        <v>2125</v>
      </c>
      <c r="AI227" s="20"/>
    </row>
    <row r="228" spans="1:35" ht="76.5" customHeight="1">
      <c r="A228" s="177" t="s">
        <v>268</v>
      </c>
      <c r="B228" s="178" t="s">
        <v>1182</v>
      </c>
      <c r="C228" s="168" t="s">
        <v>1297</v>
      </c>
      <c r="D228" s="168" t="s">
        <v>1195</v>
      </c>
      <c r="E228" s="168" t="s">
        <v>142</v>
      </c>
      <c r="F228" s="177" t="s">
        <v>1298</v>
      </c>
      <c r="G228" s="177"/>
      <c r="H228" s="338" t="s">
        <v>2389</v>
      </c>
      <c r="I228" s="16" t="s">
        <v>351</v>
      </c>
      <c r="J228" s="178" t="s">
        <v>1199</v>
      </c>
      <c r="K228" s="177"/>
      <c r="L228" s="177" t="s">
        <v>277</v>
      </c>
      <c r="M228" s="168"/>
      <c r="N228" s="168"/>
      <c r="O228" s="168"/>
      <c r="P228" s="168"/>
      <c r="Q228" s="168">
        <v>27</v>
      </c>
      <c r="R228" s="168" t="str">
        <f t="shared" si="38"/>
        <v>SC07757</v>
      </c>
      <c r="S228" s="168" t="str">
        <f t="shared" si="39"/>
        <v>DO07013</v>
      </c>
      <c r="T228" s="269" t="s">
        <v>2021</v>
      </c>
      <c r="U228" s="168">
        <v>4014448</v>
      </c>
      <c r="V228" s="320">
        <v>2652</v>
      </c>
      <c r="W228" s="177">
        <v>3426369</v>
      </c>
      <c r="X228" s="177" t="str">
        <f t="shared" si="37"/>
        <v>PJ07713</v>
      </c>
      <c r="Y228" s="177" t="s">
        <v>1352</v>
      </c>
      <c r="Z228" s="168">
        <v>4014419</v>
      </c>
      <c r="AA228" s="177" t="str">
        <f t="shared" si="35"/>
        <v>PJ07714</v>
      </c>
      <c r="AB228" s="177" t="s">
        <v>1353</v>
      </c>
      <c r="AC228" s="168">
        <v>4014420</v>
      </c>
      <c r="AD228" s="320">
        <v>4225</v>
      </c>
      <c r="AE228" s="177" t="s">
        <v>583</v>
      </c>
      <c r="AF228" s="168" t="s">
        <v>330</v>
      </c>
      <c r="AG228" s="168" t="s">
        <v>413</v>
      </c>
      <c r="AH228" s="49" t="s">
        <v>2126</v>
      </c>
      <c r="AI228" s="20"/>
    </row>
    <row r="229" spans="1:35" ht="76.5" customHeight="1">
      <c r="A229" s="177" t="s">
        <v>268</v>
      </c>
      <c r="B229" s="178" t="s">
        <v>1182</v>
      </c>
      <c r="C229" s="221" t="s">
        <v>1297</v>
      </c>
      <c r="D229" s="221" t="s">
        <v>1195</v>
      </c>
      <c r="E229" s="221" t="s">
        <v>565</v>
      </c>
      <c r="F229" s="177" t="s">
        <v>1298</v>
      </c>
      <c r="G229" s="177"/>
      <c r="H229" s="340" t="s">
        <v>1325</v>
      </c>
      <c r="I229" s="16" t="s">
        <v>351</v>
      </c>
      <c r="J229" s="178" t="s">
        <v>1199</v>
      </c>
      <c r="K229" s="177"/>
      <c r="L229" s="177" t="s">
        <v>277</v>
      </c>
      <c r="M229" s="168"/>
      <c r="N229" s="168"/>
      <c r="O229" s="168"/>
      <c r="P229" s="168"/>
      <c r="Q229" s="168">
        <v>68</v>
      </c>
      <c r="R229" s="168" t="str">
        <f t="shared" si="38"/>
        <v>SC07757</v>
      </c>
      <c r="S229" s="168" t="str">
        <f t="shared" si="39"/>
        <v>DO07013</v>
      </c>
      <c r="T229" s="221" t="s">
        <v>294</v>
      </c>
      <c r="U229" s="168" t="s">
        <v>294</v>
      </c>
      <c r="V229" s="320">
        <v>2652</v>
      </c>
      <c r="W229" s="177">
        <v>3426369</v>
      </c>
      <c r="X229" s="177" t="str">
        <f t="shared" si="37"/>
        <v>PJ07713</v>
      </c>
      <c r="Y229" s="177" t="s">
        <v>1352</v>
      </c>
      <c r="Z229" s="168">
        <v>4014419</v>
      </c>
      <c r="AA229" s="177" t="str">
        <f t="shared" si="35"/>
        <v>PJ07714</v>
      </c>
      <c r="AB229" s="177" t="s">
        <v>1353</v>
      </c>
      <c r="AC229" s="168">
        <v>4014420</v>
      </c>
      <c r="AD229" s="320">
        <v>4225</v>
      </c>
      <c r="AE229" s="177" t="s">
        <v>583</v>
      </c>
      <c r="AF229" s="168" t="s">
        <v>330</v>
      </c>
      <c r="AG229" s="168" t="s">
        <v>413</v>
      </c>
      <c r="AH229" s="49" t="s">
        <v>2127</v>
      </c>
      <c r="AI229" s="20"/>
    </row>
    <row r="230" spans="1:35" ht="76.5" customHeight="1">
      <c r="A230" s="177" t="s">
        <v>268</v>
      </c>
      <c r="B230" s="178" t="s">
        <v>1182</v>
      </c>
      <c r="C230" s="168" t="s">
        <v>1299</v>
      </c>
      <c r="D230" s="168" t="s">
        <v>1195</v>
      </c>
      <c r="E230" s="168" t="s">
        <v>575</v>
      </c>
      <c r="F230" s="177" t="s">
        <v>1304</v>
      </c>
      <c r="G230" s="177"/>
      <c r="H230" s="340" t="s">
        <v>1326</v>
      </c>
      <c r="I230" s="16" t="s">
        <v>351</v>
      </c>
      <c r="J230" s="178" t="s">
        <v>1199</v>
      </c>
      <c r="K230" s="177"/>
      <c r="L230" s="177" t="s">
        <v>277</v>
      </c>
      <c r="M230" s="168"/>
      <c r="N230" s="168"/>
      <c r="O230" s="168"/>
      <c r="P230" s="168"/>
      <c r="Q230" s="168">
        <v>61</v>
      </c>
      <c r="R230" s="168" t="str">
        <f t="shared" si="38"/>
        <v>SC07747</v>
      </c>
      <c r="S230" s="168" t="str">
        <f t="shared" si="39"/>
        <v>DO07013</v>
      </c>
      <c r="T230" s="269" t="s">
        <v>2017</v>
      </c>
      <c r="U230" s="168">
        <v>4014441</v>
      </c>
      <c r="V230" s="320">
        <v>2652</v>
      </c>
      <c r="W230" s="177">
        <v>3426369</v>
      </c>
      <c r="X230" s="177" t="str">
        <f t="shared" si="37"/>
        <v>PJ07715</v>
      </c>
      <c r="Y230" s="177" t="s">
        <v>1354</v>
      </c>
      <c r="Z230" s="168">
        <v>4104421</v>
      </c>
      <c r="AA230" s="177" t="str">
        <f t="shared" si="35"/>
        <v>PJ07716</v>
      </c>
      <c r="AB230" s="177" t="s">
        <v>1355</v>
      </c>
      <c r="AC230" s="168">
        <v>4014422</v>
      </c>
      <c r="AD230" s="320">
        <v>4225</v>
      </c>
      <c r="AE230" s="177" t="s">
        <v>583</v>
      </c>
      <c r="AF230" s="168" t="s">
        <v>330</v>
      </c>
      <c r="AG230" s="168" t="s">
        <v>413</v>
      </c>
      <c r="AH230" s="49" t="s">
        <v>2128</v>
      </c>
      <c r="AI230" s="20"/>
    </row>
    <row r="231" spans="1:35" ht="76.5" customHeight="1">
      <c r="A231" s="177" t="s">
        <v>268</v>
      </c>
      <c r="B231" s="178" t="s">
        <v>1182</v>
      </c>
      <c r="C231" s="168" t="s">
        <v>1300</v>
      </c>
      <c r="D231" s="168" t="s">
        <v>1195</v>
      </c>
      <c r="E231" s="168" t="s">
        <v>573</v>
      </c>
      <c r="F231" s="177" t="s">
        <v>1304</v>
      </c>
      <c r="G231" s="177"/>
      <c r="H231" s="340" t="s">
        <v>1327</v>
      </c>
      <c r="I231" s="16" t="s">
        <v>351</v>
      </c>
      <c r="J231" s="178" t="s">
        <v>1199</v>
      </c>
      <c r="K231" s="177"/>
      <c r="L231" s="177" t="s">
        <v>277</v>
      </c>
      <c r="M231" s="168"/>
      <c r="N231" s="168"/>
      <c r="O231" s="168"/>
      <c r="P231" s="168"/>
      <c r="Q231" s="168">
        <v>59</v>
      </c>
      <c r="R231" s="168" t="str">
        <f t="shared" si="38"/>
        <v>SC07758</v>
      </c>
      <c r="S231" s="168" t="str">
        <f t="shared" si="39"/>
        <v>DO07013</v>
      </c>
      <c r="T231" s="269" t="s">
        <v>2022</v>
      </c>
      <c r="U231" s="168">
        <v>4014449</v>
      </c>
      <c r="V231" s="320">
        <v>2652</v>
      </c>
      <c r="W231" s="177">
        <v>3426369</v>
      </c>
      <c r="X231" s="177" t="str">
        <f t="shared" si="37"/>
        <v>PJ07715</v>
      </c>
      <c r="Y231" s="177" t="s">
        <v>1354</v>
      </c>
      <c r="Z231" s="168">
        <v>4104421</v>
      </c>
      <c r="AA231" s="177" t="str">
        <f t="shared" si="35"/>
        <v>PJ07716</v>
      </c>
      <c r="AB231" s="177" t="s">
        <v>1355</v>
      </c>
      <c r="AC231" s="168">
        <v>4014422</v>
      </c>
      <c r="AD231" s="320">
        <v>4225</v>
      </c>
      <c r="AE231" s="177" t="s">
        <v>583</v>
      </c>
      <c r="AF231" s="168" t="s">
        <v>330</v>
      </c>
      <c r="AG231" s="168" t="s">
        <v>413</v>
      </c>
      <c r="AH231" s="49" t="s">
        <v>2129</v>
      </c>
      <c r="AI231" s="20"/>
    </row>
    <row r="232" spans="1:35" ht="76.5" customHeight="1">
      <c r="A232" s="177" t="s">
        <v>268</v>
      </c>
      <c r="B232" s="178" t="s">
        <v>1182</v>
      </c>
      <c r="C232" s="168" t="s">
        <v>1301</v>
      </c>
      <c r="D232" s="168" t="s">
        <v>1195</v>
      </c>
      <c r="E232" s="168" t="s">
        <v>144</v>
      </c>
      <c r="F232" s="177" t="s">
        <v>1304</v>
      </c>
      <c r="G232" s="177"/>
      <c r="H232" s="338" t="s">
        <v>2391</v>
      </c>
      <c r="I232" s="16" t="s">
        <v>351</v>
      </c>
      <c r="J232" s="178" t="s">
        <v>1199</v>
      </c>
      <c r="K232" s="177"/>
      <c r="L232" s="177" t="s">
        <v>277</v>
      </c>
      <c r="M232" s="168"/>
      <c r="N232" s="168"/>
      <c r="O232" s="168"/>
      <c r="P232" s="168"/>
      <c r="Q232" s="168">
        <v>12</v>
      </c>
      <c r="R232" s="168" t="str">
        <f t="shared" si="38"/>
        <v>SC07759</v>
      </c>
      <c r="S232" s="168" t="str">
        <f t="shared" si="39"/>
        <v>DO07013</v>
      </c>
      <c r="T232" s="269" t="s">
        <v>2023</v>
      </c>
      <c r="U232" s="168">
        <v>4014450</v>
      </c>
      <c r="V232" s="320">
        <v>2652</v>
      </c>
      <c r="W232" s="177">
        <v>3426369</v>
      </c>
      <c r="X232" s="177" t="str">
        <f t="shared" si="37"/>
        <v>PJ07715</v>
      </c>
      <c r="Y232" s="177" t="s">
        <v>1354</v>
      </c>
      <c r="Z232" s="168">
        <v>4104421</v>
      </c>
      <c r="AA232" s="177" t="str">
        <f t="shared" si="35"/>
        <v>PJ07716</v>
      </c>
      <c r="AB232" s="177" t="s">
        <v>1355</v>
      </c>
      <c r="AC232" s="168">
        <v>4014422</v>
      </c>
      <c r="AD232" s="320">
        <v>4225</v>
      </c>
      <c r="AE232" s="177" t="s">
        <v>583</v>
      </c>
      <c r="AF232" s="168" t="s">
        <v>330</v>
      </c>
      <c r="AG232" s="168" t="s">
        <v>413</v>
      </c>
      <c r="AH232" s="49" t="s">
        <v>2130</v>
      </c>
      <c r="AI232" s="20"/>
    </row>
    <row r="233" spans="1:35" ht="76.5" customHeight="1">
      <c r="A233" s="177" t="s">
        <v>268</v>
      </c>
      <c r="B233" s="178" t="s">
        <v>1182</v>
      </c>
      <c r="C233" s="168" t="s">
        <v>1302</v>
      </c>
      <c r="D233" s="168" t="s">
        <v>1195</v>
      </c>
      <c r="E233" s="168" t="s">
        <v>571</v>
      </c>
      <c r="F233" s="177" t="s">
        <v>1304</v>
      </c>
      <c r="G233" s="177"/>
      <c r="H233" s="340" t="s">
        <v>1328</v>
      </c>
      <c r="I233" s="16" t="s">
        <v>351</v>
      </c>
      <c r="J233" s="178" t="s">
        <v>1199</v>
      </c>
      <c r="K233" s="177"/>
      <c r="L233" s="177" t="s">
        <v>277</v>
      </c>
      <c r="M233" s="168"/>
      <c r="N233" s="168"/>
      <c r="O233" s="168"/>
      <c r="P233" s="168"/>
      <c r="Q233" s="168">
        <v>62</v>
      </c>
      <c r="R233" s="168" t="str">
        <f t="shared" si="38"/>
        <v>SC07760</v>
      </c>
      <c r="S233" s="168" t="str">
        <f t="shared" si="39"/>
        <v>DO07013</v>
      </c>
      <c r="T233" s="269" t="s">
        <v>2024</v>
      </c>
      <c r="U233" s="168">
        <v>4014451</v>
      </c>
      <c r="V233" s="320">
        <v>2652</v>
      </c>
      <c r="W233" s="177">
        <v>3426369</v>
      </c>
      <c r="X233" s="177" t="str">
        <f t="shared" si="37"/>
        <v>PJ07715</v>
      </c>
      <c r="Y233" s="177" t="s">
        <v>1354</v>
      </c>
      <c r="Z233" s="168">
        <v>4104421</v>
      </c>
      <c r="AA233" s="177" t="str">
        <f t="shared" si="35"/>
        <v>PJ07716</v>
      </c>
      <c r="AB233" s="177" t="s">
        <v>1355</v>
      </c>
      <c r="AC233" s="168">
        <v>4014422</v>
      </c>
      <c r="AD233" s="320">
        <v>4225</v>
      </c>
      <c r="AE233" s="177" t="s">
        <v>583</v>
      </c>
      <c r="AF233" s="168" t="s">
        <v>330</v>
      </c>
      <c r="AG233" s="168" t="s">
        <v>413</v>
      </c>
      <c r="AH233" s="49" t="s">
        <v>2131</v>
      </c>
      <c r="AI233" s="20"/>
    </row>
    <row r="234" spans="1:35" ht="76.5" customHeight="1">
      <c r="A234" s="177" t="s">
        <v>268</v>
      </c>
      <c r="B234" s="178" t="s">
        <v>1182</v>
      </c>
      <c r="C234" s="168" t="s">
        <v>1303</v>
      </c>
      <c r="D234" s="168" t="s">
        <v>1195</v>
      </c>
      <c r="E234" s="168" t="s">
        <v>1185</v>
      </c>
      <c r="F234" s="177" t="s">
        <v>1304</v>
      </c>
      <c r="G234" s="177"/>
      <c r="H234" s="340" t="s">
        <v>1329</v>
      </c>
      <c r="I234" s="16" t="s">
        <v>351</v>
      </c>
      <c r="J234" s="178" t="s">
        <v>1199</v>
      </c>
      <c r="K234" s="177"/>
      <c r="L234" s="177" t="s">
        <v>277</v>
      </c>
      <c r="M234" s="168"/>
      <c r="N234" s="168"/>
      <c r="O234" s="168"/>
      <c r="P234" s="168"/>
      <c r="Q234" s="168">
        <v>60</v>
      </c>
      <c r="R234" s="168" t="str">
        <f t="shared" si="38"/>
        <v>SC07761</v>
      </c>
      <c r="S234" s="168" t="str">
        <f t="shared" si="39"/>
        <v>DO07013</v>
      </c>
      <c r="T234" s="269" t="s">
        <v>2025</v>
      </c>
      <c r="U234" s="168">
        <v>4014452</v>
      </c>
      <c r="V234" s="320">
        <v>2652</v>
      </c>
      <c r="W234" s="177">
        <v>3426369</v>
      </c>
      <c r="X234" s="177" t="str">
        <f t="shared" si="37"/>
        <v>PJ07715</v>
      </c>
      <c r="Y234" s="177" t="s">
        <v>1354</v>
      </c>
      <c r="Z234" s="168">
        <v>4104421</v>
      </c>
      <c r="AA234" s="177" t="str">
        <f t="shared" si="35"/>
        <v>PJ07716</v>
      </c>
      <c r="AB234" s="177" t="s">
        <v>1355</v>
      </c>
      <c r="AC234" s="168">
        <v>4014422</v>
      </c>
      <c r="AD234" s="320">
        <v>4225</v>
      </c>
      <c r="AE234" s="177" t="s">
        <v>583</v>
      </c>
      <c r="AF234" s="168" t="s">
        <v>330</v>
      </c>
      <c r="AG234" s="168" t="s">
        <v>413</v>
      </c>
      <c r="AH234" s="49" t="s">
        <v>2132</v>
      </c>
      <c r="AI234" s="20"/>
    </row>
    <row r="235" spans="1:35" ht="76.5" customHeight="1">
      <c r="A235" s="177" t="s">
        <v>268</v>
      </c>
      <c r="B235" s="178" t="s">
        <v>1182</v>
      </c>
      <c r="C235" s="168" t="s">
        <v>1305</v>
      </c>
      <c r="D235" s="168" t="s">
        <v>1195</v>
      </c>
      <c r="E235" s="168" t="s">
        <v>143</v>
      </c>
      <c r="F235" s="177" t="s">
        <v>1308</v>
      </c>
      <c r="G235" s="177"/>
      <c r="H235" s="340" t="s">
        <v>2401</v>
      </c>
      <c r="I235" s="16" t="s">
        <v>351</v>
      </c>
      <c r="J235" s="178" t="s">
        <v>1199</v>
      </c>
      <c r="K235" s="177"/>
      <c r="L235" s="177" t="s">
        <v>277</v>
      </c>
      <c r="M235" s="168"/>
      <c r="N235" s="168"/>
      <c r="O235" s="168"/>
      <c r="P235" s="168"/>
      <c r="Q235" s="168">
        <v>15</v>
      </c>
      <c r="R235" s="168" t="str">
        <f t="shared" si="38"/>
        <v>SC07722</v>
      </c>
      <c r="S235" s="168" t="str">
        <f t="shared" si="39"/>
        <v>DO07013</v>
      </c>
      <c r="T235" s="290" t="s">
        <v>2202</v>
      </c>
      <c r="U235" s="168">
        <v>4014432</v>
      </c>
      <c r="V235" s="320">
        <v>2652</v>
      </c>
      <c r="W235" s="177">
        <v>3426369</v>
      </c>
      <c r="X235" s="177" t="str">
        <f t="shared" si="37"/>
        <v>PJ07729</v>
      </c>
      <c r="Y235" s="177" t="s">
        <v>1356</v>
      </c>
      <c r="Z235" s="168">
        <v>4014427</v>
      </c>
      <c r="AA235" s="177" t="str">
        <f t="shared" si="35"/>
        <v>PJ07730</v>
      </c>
      <c r="AB235" s="177" t="s">
        <v>1357</v>
      </c>
      <c r="AC235" s="168">
        <v>4014428</v>
      </c>
      <c r="AD235" s="320">
        <v>4225</v>
      </c>
      <c r="AE235" s="177" t="s">
        <v>583</v>
      </c>
      <c r="AF235" s="168" t="s">
        <v>330</v>
      </c>
      <c r="AG235" s="168" t="s">
        <v>413</v>
      </c>
      <c r="AH235" s="49" t="s">
        <v>2133</v>
      </c>
      <c r="AI235" s="20"/>
    </row>
    <row r="236" spans="1:35" ht="76.5" customHeight="1">
      <c r="A236" s="177" t="s">
        <v>268</v>
      </c>
      <c r="B236" s="178" t="s">
        <v>1182</v>
      </c>
      <c r="C236" s="168" t="s">
        <v>1306</v>
      </c>
      <c r="D236" s="168" t="s">
        <v>1195</v>
      </c>
      <c r="E236" s="168" t="s">
        <v>567</v>
      </c>
      <c r="F236" s="177" t="s">
        <v>1308</v>
      </c>
      <c r="G236" s="177"/>
      <c r="H236" s="340" t="s">
        <v>1375</v>
      </c>
      <c r="I236" s="16" t="s">
        <v>351</v>
      </c>
      <c r="J236" s="178" t="s">
        <v>1199</v>
      </c>
      <c r="K236" s="177"/>
      <c r="L236" s="177" t="s">
        <v>277</v>
      </c>
      <c r="M236" s="168"/>
      <c r="N236" s="168"/>
      <c r="O236" s="168"/>
      <c r="P236" s="168"/>
      <c r="Q236" s="168">
        <v>63</v>
      </c>
      <c r="R236" s="168" t="str">
        <f t="shared" si="38"/>
        <v>SC07723</v>
      </c>
      <c r="S236" s="168" t="str">
        <f t="shared" si="39"/>
        <v>DO07013</v>
      </c>
      <c r="T236" s="269" t="s">
        <v>2015</v>
      </c>
      <c r="U236" s="168">
        <v>4014433</v>
      </c>
      <c r="V236" s="320">
        <v>2652</v>
      </c>
      <c r="W236" s="177">
        <v>3426369</v>
      </c>
      <c r="X236" s="177" t="str">
        <f t="shared" si="37"/>
        <v>PJ07729</v>
      </c>
      <c r="Y236" s="177" t="s">
        <v>1356</v>
      </c>
      <c r="Z236" s="168">
        <v>4014427</v>
      </c>
      <c r="AA236" s="177" t="str">
        <f t="shared" si="35"/>
        <v>PJ07730</v>
      </c>
      <c r="AB236" s="177" t="s">
        <v>1357</v>
      </c>
      <c r="AC236" s="168">
        <v>4014428</v>
      </c>
      <c r="AD236" s="320">
        <v>4225</v>
      </c>
      <c r="AE236" s="177" t="s">
        <v>583</v>
      </c>
      <c r="AF236" s="168" t="s">
        <v>330</v>
      </c>
      <c r="AG236" s="168" t="s">
        <v>413</v>
      </c>
      <c r="AH236" s="49" t="s">
        <v>2134</v>
      </c>
      <c r="AI236" s="20"/>
    </row>
    <row r="237" spans="1:35" ht="76.5" customHeight="1">
      <c r="A237" s="177" t="s">
        <v>268</v>
      </c>
      <c r="B237" s="178" t="s">
        <v>1182</v>
      </c>
      <c r="C237" s="168" t="s">
        <v>1307</v>
      </c>
      <c r="D237" s="168" t="s">
        <v>1195</v>
      </c>
      <c r="E237" s="168" t="s">
        <v>138</v>
      </c>
      <c r="F237" s="177" t="s">
        <v>1308</v>
      </c>
      <c r="G237" s="177"/>
      <c r="H237" s="340" t="s">
        <v>2403</v>
      </c>
      <c r="I237" s="16" t="s">
        <v>351</v>
      </c>
      <c r="J237" s="178" t="s">
        <v>1199</v>
      </c>
      <c r="K237" s="177"/>
      <c r="L237" s="177" t="s">
        <v>277</v>
      </c>
      <c r="M237" s="168"/>
      <c r="N237" s="168"/>
      <c r="O237" s="168"/>
      <c r="P237" s="168"/>
      <c r="Q237" s="168">
        <v>17</v>
      </c>
      <c r="R237" s="168" t="str">
        <f t="shared" si="38"/>
        <v>SC07755</v>
      </c>
      <c r="S237" s="168" t="str">
        <f t="shared" si="39"/>
        <v>DO07013</v>
      </c>
      <c r="T237" s="290" t="s">
        <v>2207</v>
      </c>
      <c r="U237" s="168">
        <v>4014446</v>
      </c>
      <c r="V237" s="320">
        <v>2652</v>
      </c>
      <c r="W237" s="177">
        <v>3426369</v>
      </c>
      <c r="X237" s="177" t="str">
        <f t="shared" si="37"/>
        <v>PJ07729</v>
      </c>
      <c r="Y237" s="177" t="s">
        <v>1356</v>
      </c>
      <c r="Z237" s="168">
        <v>4014427</v>
      </c>
      <c r="AA237" s="177" t="str">
        <f t="shared" si="35"/>
        <v>PJ07730</v>
      </c>
      <c r="AB237" s="177" t="s">
        <v>1357</v>
      </c>
      <c r="AC237" s="168">
        <v>4014428</v>
      </c>
      <c r="AD237" s="320">
        <v>4225</v>
      </c>
      <c r="AE237" s="177" t="s">
        <v>583</v>
      </c>
      <c r="AF237" s="168" t="s">
        <v>330</v>
      </c>
      <c r="AG237" s="168" t="s">
        <v>413</v>
      </c>
      <c r="AH237" s="49" t="s">
        <v>2135</v>
      </c>
      <c r="AI237" s="20"/>
    </row>
    <row r="238" spans="1:35" ht="76.5" customHeight="1">
      <c r="A238" s="177" t="s">
        <v>268</v>
      </c>
      <c r="B238" s="178" t="s">
        <v>1182</v>
      </c>
      <c r="C238" s="168" t="s">
        <v>1309</v>
      </c>
      <c r="D238" s="168" t="s">
        <v>1195</v>
      </c>
      <c r="E238" s="168" t="s">
        <v>140</v>
      </c>
      <c r="F238" s="177" t="s">
        <v>1313</v>
      </c>
      <c r="G238" s="177"/>
      <c r="H238" s="340" t="s">
        <v>2400</v>
      </c>
      <c r="I238" s="16" t="s">
        <v>351</v>
      </c>
      <c r="J238" s="178" t="s">
        <v>1199</v>
      </c>
      <c r="K238" s="177"/>
      <c r="L238" s="177" t="s">
        <v>277</v>
      </c>
      <c r="M238" s="168"/>
      <c r="N238" s="168"/>
      <c r="O238" s="168"/>
      <c r="P238" s="168"/>
      <c r="Q238" s="168">
        <v>14</v>
      </c>
      <c r="R238" s="168" t="str">
        <f t="shared" si="38"/>
        <v>SC07705</v>
      </c>
      <c r="S238" s="168" t="str">
        <f t="shared" si="39"/>
        <v>DO07013</v>
      </c>
      <c r="T238" s="290" t="s">
        <v>2201</v>
      </c>
      <c r="U238" s="168">
        <v>4014431</v>
      </c>
      <c r="V238" s="320">
        <v>2652</v>
      </c>
      <c r="W238" s="177">
        <v>3426369</v>
      </c>
      <c r="X238" s="177" t="str">
        <f t="shared" si="37"/>
        <v>PJ07731</v>
      </c>
      <c r="Y238" s="177" t="s">
        <v>1358</v>
      </c>
      <c r="Z238" s="168">
        <v>4014429</v>
      </c>
      <c r="AA238" s="177" t="str">
        <f t="shared" si="35"/>
        <v>PJ07732</v>
      </c>
      <c r="AB238" s="177" t="s">
        <v>1359</v>
      </c>
      <c r="AC238" s="168">
        <v>4014430</v>
      </c>
      <c r="AD238" s="320">
        <v>4225</v>
      </c>
      <c r="AE238" s="177" t="s">
        <v>583</v>
      </c>
      <c r="AF238" s="168" t="s">
        <v>330</v>
      </c>
      <c r="AG238" s="168" t="s">
        <v>413</v>
      </c>
      <c r="AH238" s="49" t="s">
        <v>2136</v>
      </c>
      <c r="AI238" s="20"/>
    </row>
    <row r="239" spans="1:35" ht="76.5" customHeight="1">
      <c r="A239" s="177" t="s">
        <v>268</v>
      </c>
      <c r="B239" s="178" t="s">
        <v>1182</v>
      </c>
      <c r="C239" s="168" t="s">
        <v>1310</v>
      </c>
      <c r="D239" s="168" t="s">
        <v>1195</v>
      </c>
      <c r="E239" s="168" t="s">
        <v>141</v>
      </c>
      <c r="F239" s="177" t="s">
        <v>1313</v>
      </c>
      <c r="G239" s="177"/>
      <c r="H239" s="340" t="s">
        <v>2404</v>
      </c>
      <c r="I239" s="16" t="s">
        <v>351</v>
      </c>
      <c r="J239" s="178" t="s">
        <v>1199</v>
      </c>
      <c r="K239" s="177"/>
      <c r="L239" s="177" t="s">
        <v>277</v>
      </c>
      <c r="M239" s="168"/>
      <c r="N239" s="168"/>
      <c r="O239" s="168"/>
      <c r="P239" s="168"/>
      <c r="Q239" s="168">
        <v>18</v>
      </c>
      <c r="R239" s="168" t="str">
        <f t="shared" si="38"/>
        <v>SC07728</v>
      </c>
      <c r="S239" s="168" t="str">
        <f t="shared" si="39"/>
        <v>DO07013</v>
      </c>
      <c r="T239" s="290" t="s">
        <v>2203</v>
      </c>
      <c r="U239" s="168">
        <v>4014435</v>
      </c>
      <c r="V239" s="320">
        <v>2652</v>
      </c>
      <c r="W239" s="177">
        <v>3426369</v>
      </c>
      <c r="X239" s="177" t="str">
        <f t="shared" si="37"/>
        <v>PJ07731</v>
      </c>
      <c r="Y239" s="177" t="s">
        <v>1358</v>
      </c>
      <c r="Z239" s="168">
        <v>4014429</v>
      </c>
      <c r="AA239" s="177" t="str">
        <f t="shared" si="35"/>
        <v>PJ07732</v>
      </c>
      <c r="AB239" s="177" t="s">
        <v>1359</v>
      </c>
      <c r="AC239" s="168">
        <v>4014430</v>
      </c>
      <c r="AD239" s="320">
        <v>4225</v>
      </c>
      <c r="AE239" s="177" t="s">
        <v>583</v>
      </c>
      <c r="AF239" s="168" t="s">
        <v>330</v>
      </c>
      <c r="AG239" s="168" t="s">
        <v>413</v>
      </c>
      <c r="AH239" s="49" t="s">
        <v>2137</v>
      </c>
      <c r="AI239" s="20"/>
    </row>
    <row r="240" spans="1:35" ht="76.5" customHeight="1">
      <c r="A240" s="177" t="s">
        <v>268</v>
      </c>
      <c r="B240" s="178" t="s">
        <v>1182</v>
      </c>
      <c r="C240" s="168" t="s">
        <v>1311</v>
      </c>
      <c r="D240" s="168" t="s">
        <v>1195</v>
      </c>
      <c r="E240" s="168" t="s">
        <v>568</v>
      </c>
      <c r="F240" s="177" t="s">
        <v>1313</v>
      </c>
      <c r="G240" s="177"/>
      <c r="H240" s="340" t="s">
        <v>1330</v>
      </c>
      <c r="I240" s="16" t="s">
        <v>351</v>
      </c>
      <c r="J240" s="178" t="s">
        <v>1199</v>
      </c>
      <c r="K240" s="177"/>
      <c r="L240" s="177" t="s">
        <v>277</v>
      </c>
      <c r="M240" s="168"/>
      <c r="N240" s="168"/>
      <c r="O240" s="168"/>
      <c r="P240" s="168"/>
      <c r="Q240" s="168">
        <v>64</v>
      </c>
      <c r="R240" s="168" t="str">
        <f t="shared" si="38"/>
        <v>SC07730</v>
      </c>
      <c r="S240" s="168" t="str">
        <f t="shared" si="39"/>
        <v>DO07013</v>
      </c>
      <c r="T240" s="269" t="s">
        <v>2016</v>
      </c>
      <c r="U240" s="168">
        <v>4014436</v>
      </c>
      <c r="V240" s="320">
        <v>2652</v>
      </c>
      <c r="W240" s="177">
        <v>3426369</v>
      </c>
      <c r="X240" s="177" t="str">
        <f t="shared" si="37"/>
        <v>PJ07731</v>
      </c>
      <c r="Y240" s="177" t="s">
        <v>1358</v>
      </c>
      <c r="Z240" s="168">
        <v>4014429</v>
      </c>
      <c r="AA240" s="177" t="str">
        <f t="shared" si="35"/>
        <v>PJ07732</v>
      </c>
      <c r="AB240" s="177" t="s">
        <v>1359</v>
      </c>
      <c r="AC240" s="168">
        <v>4014430</v>
      </c>
      <c r="AD240" s="320">
        <v>4225</v>
      </c>
      <c r="AE240" s="177" t="s">
        <v>583</v>
      </c>
      <c r="AF240" s="168" t="s">
        <v>330</v>
      </c>
      <c r="AG240" s="168" t="s">
        <v>413</v>
      </c>
      <c r="AH240" s="49" t="s">
        <v>2138</v>
      </c>
      <c r="AI240" s="20"/>
    </row>
    <row r="241" spans="1:35" ht="76.5" customHeight="1">
      <c r="A241" s="177" t="s">
        <v>268</v>
      </c>
      <c r="B241" s="178" t="s">
        <v>1182</v>
      </c>
      <c r="C241" s="168" t="s">
        <v>1312</v>
      </c>
      <c r="D241" s="168" t="s">
        <v>1195</v>
      </c>
      <c r="E241" s="168" t="s">
        <v>139</v>
      </c>
      <c r="F241" s="177" t="s">
        <v>1313</v>
      </c>
      <c r="G241" s="177"/>
      <c r="H241" s="340" t="s">
        <v>2402</v>
      </c>
      <c r="I241" s="16" t="s">
        <v>351</v>
      </c>
      <c r="J241" s="178" t="s">
        <v>1199</v>
      </c>
      <c r="K241" s="177"/>
      <c r="L241" s="177" t="s">
        <v>277</v>
      </c>
      <c r="M241" s="168"/>
      <c r="N241" s="168"/>
      <c r="O241" s="168"/>
      <c r="P241" s="168"/>
      <c r="Q241" s="168">
        <v>16</v>
      </c>
      <c r="R241" s="168" t="str">
        <f t="shared" si="38"/>
        <v>SC07734</v>
      </c>
      <c r="S241" s="168" t="str">
        <f t="shared" si="39"/>
        <v>DO07013</v>
      </c>
      <c r="T241" s="290" t="s">
        <v>2204</v>
      </c>
      <c r="U241" s="168">
        <v>4014438</v>
      </c>
      <c r="V241" s="320">
        <v>2652</v>
      </c>
      <c r="W241" s="177">
        <v>3426369</v>
      </c>
      <c r="X241" s="177" t="str">
        <f t="shared" si="37"/>
        <v>PJ07731</v>
      </c>
      <c r="Y241" s="177" t="s">
        <v>1358</v>
      </c>
      <c r="Z241" s="168">
        <v>4014429</v>
      </c>
      <c r="AA241" s="177" t="str">
        <f t="shared" ref="AA241:AA267" si="40">IF(AG241="VEE", RIGHT(F241,7),"n/a")</f>
        <v>PJ07732</v>
      </c>
      <c r="AB241" s="177" t="s">
        <v>1359</v>
      </c>
      <c r="AC241" s="168">
        <v>4014430</v>
      </c>
      <c r="AD241" s="320">
        <v>4225</v>
      </c>
      <c r="AE241" s="177" t="s">
        <v>583</v>
      </c>
      <c r="AF241" s="168" t="s">
        <v>330</v>
      </c>
      <c r="AG241" s="168" t="s">
        <v>413</v>
      </c>
      <c r="AH241" s="49" t="s">
        <v>2139</v>
      </c>
      <c r="AI241" s="20"/>
    </row>
    <row r="242" spans="1:35" s="285" customFormat="1" ht="76.5">
      <c r="A242" s="277" t="s">
        <v>268</v>
      </c>
      <c r="B242" s="278" t="s">
        <v>1182</v>
      </c>
      <c r="C242" s="279" t="s">
        <v>1314</v>
      </c>
      <c r="D242" s="279" t="s">
        <v>1195</v>
      </c>
      <c r="E242" s="279" t="s">
        <v>1186</v>
      </c>
      <c r="F242" s="277" t="s">
        <v>1315</v>
      </c>
      <c r="G242" s="277"/>
      <c r="H242" s="341" t="s">
        <v>1331</v>
      </c>
      <c r="I242" s="280" t="s">
        <v>351</v>
      </c>
      <c r="J242" s="278" t="s">
        <v>1199</v>
      </c>
      <c r="K242" s="277"/>
      <c r="L242" s="277" t="s">
        <v>277</v>
      </c>
      <c r="M242" s="279"/>
      <c r="N242" s="279"/>
      <c r="O242" s="279"/>
      <c r="P242" s="279"/>
      <c r="Q242" s="279">
        <v>66</v>
      </c>
      <c r="R242" s="279" t="str">
        <f t="shared" si="38"/>
        <v>SC07772</v>
      </c>
      <c r="S242" s="279" t="str">
        <f t="shared" si="39"/>
        <v>DO07013</v>
      </c>
      <c r="T242" s="279" t="s">
        <v>2028</v>
      </c>
      <c r="U242" s="279">
        <v>4014461</v>
      </c>
      <c r="V242" s="279">
        <v>2652</v>
      </c>
      <c r="W242" s="277">
        <v>3426369</v>
      </c>
      <c r="X242" s="277" t="str">
        <f t="shared" si="37"/>
        <v>PJ07723</v>
      </c>
      <c r="Y242" s="277" t="s">
        <v>1360</v>
      </c>
      <c r="Z242" s="279">
        <v>4014464</v>
      </c>
      <c r="AA242" s="277" t="str">
        <f t="shared" si="40"/>
        <v>PJ07724</v>
      </c>
      <c r="AB242" s="277" t="s">
        <v>1361</v>
      </c>
      <c r="AC242" s="279">
        <v>4014465</v>
      </c>
      <c r="AD242" s="279">
        <v>4225</v>
      </c>
      <c r="AE242" s="277" t="s">
        <v>583</v>
      </c>
      <c r="AF242" s="279" t="s">
        <v>330</v>
      </c>
      <c r="AG242" s="279" t="s">
        <v>413</v>
      </c>
      <c r="AH242" s="49" t="s">
        <v>2140</v>
      </c>
    </row>
    <row r="243" spans="1:35" s="285" customFormat="1" ht="76.5" customHeight="1">
      <c r="A243" s="177" t="s">
        <v>268</v>
      </c>
      <c r="B243" s="178" t="s">
        <v>1182</v>
      </c>
      <c r="C243" s="275" t="s">
        <v>120</v>
      </c>
      <c r="D243" s="275" t="s">
        <v>176</v>
      </c>
      <c r="E243" s="275" t="s">
        <v>137</v>
      </c>
      <c r="F243" s="177" t="s">
        <v>1316</v>
      </c>
      <c r="G243" s="177"/>
      <c r="H243" s="340" t="s">
        <v>2406</v>
      </c>
      <c r="I243" s="178" t="s">
        <v>415</v>
      </c>
      <c r="J243" s="178" t="s">
        <v>1199</v>
      </c>
      <c r="K243" s="177"/>
      <c r="L243" s="177" t="s">
        <v>277</v>
      </c>
      <c r="M243" s="275"/>
      <c r="N243" s="275"/>
      <c r="O243" s="275"/>
      <c r="P243" s="275"/>
      <c r="Q243" s="275">
        <v>23</v>
      </c>
      <c r="R243" s="275" t="str">
        <f t="shared" si="38"/>
        <v>SC07782</v>
      </c>
      <c r="S243" s="275" t="str">
        <f t="shared" si="39"/>
        <v>DO07030</v>
      </c>
      <c r="T243" s="275" t="s">
        <v>1333</v>
      </c>
      <c r="U243" s="275">
        <v>2896121</v>
      </c>
      <c r="V243" s="320">
        <v>2652</v>
      </c>
      <c r="W243" s="177">
        <v>4954429</v>
      </c>
      <c r="X243" s="177" t="str">
        <f t="shared" si="37"/>
        <v>PJ07772</v>
      </c>
      <c r="Y243" s="177" t="s">
        <v>1362</v>
      </c>
      <c r="Z243" s="275">
        <v>4015215</v>
      </c>
      <c r="AA243" s="177" t="str">
        <f t="shared" si="40"/>
        <v>PJ07773</v>
      </c>
      <c r="AB243" s="177" t="s">
        <v>1363</v>
      </c>
      <c r="AC243" s="275">
        <v>4015216</v>
      </c>
      <c r="AD243" s="320">
        <v>4225</v>
      </c>
      <c r="AE243" s="177" t="s">
        <v>583</v>
      </c>
      <c r="AF243" s="275" t="s">
        <v>330</v>
      </c>
      <c r="AG243" s="275" t="s">
        <v>413</v>
      </c>
      <c r="AH243" s="49" t="s">
        <v>2141</v>
      </c>
    </row>
    <row r="244" spans="1:35" s="72" customFormat="1" ht="76.5" customHeight="1">
      <c r="A244" s="177" t="s">
        <v>268</v>
      </c>
      <c r="B244" s="178" t="s">
        <v>1182</v>
      </c>
      <c r="C244" s="275" t="s">
        <v>119</v>
      </c>
      <c r="D244" s="275" t="s">
        <v>175</v>
      </c>
      <c r="E244" s="275" t="s">
        <v>136</v>
      </c>
      <c r="F244" s="177" t="s">
        <v>1316</v>
      </c>
      <c r="G244" s="177"/>
      <c r="H244" s="340" t="s">
        <v>2405</v>
      </c>
      <c r="I244" s="178" t="s">
        <v>415</v>
      </c>
      <c r="J244" s="178" t="s">
        <v>1199</v>
      </c>
      <c r="K244" s="177"/>
      <c r="L244" s="177" t="s">
        <v>277</v>
      </c>
      <c r="M244" s="275"/>
      <c r="N244" s="275"/>
      <c r="O244" s="275"/>
      <c r="P244" s="275"/>
      <c r="Q244" s="275">
        <v>21</v>
      </c>
      <c r="R244" s="275" t="str">
        <f t="shared" si="38"/>
        <v>SC07781</v>
      </c>
      <c r="S244" s="275" t="str">
        <f t="shared" si="39"/>
        <v>DO07062</v>
      </c>
      <c r="T244" s="275" t="s">
        <v>1334</v>
      </c>
      <c r="U244" s="275">
        <v>2896120</v>
      </c>
      <c r="V244" s="320">
        <v>2652</v>
      </c>
      <c r="W244" s="177">
        <v>4954429</v>
      </c>
      <c r="X244" s="177" t="str">
        <f t="shared" si="37"/>
        <v>PJ07772</v>
      </c>
      <c r="Y244" s="177" t="s">
        <v>1362</v>
      </c>
      <c r="Z244" s="275">
        <v>4015215</v>
      </c>
      <c r="AA244" s="177" t="str">
        <f t="shared" si="40"/>
        <v>PJ07773</v>
      </c>
      <c r="AB244" s="177" t="s">
        <v>1363</v>
      </c>
      <c r="AC244" s="275">
        <v>4015216</v>
      </c>
      <c r="AD244" s="320">
        <v>4225</v>
      </c>
      <c r="AE244" s="177" t="s">
        <v>583</v>
      </c>
      <c r="AF244" s="275" t="s">
        <v>330</v>
      </c>
      <c r="AG244" s="275" t="s">
        <v>413</v>
      </c>
      <c r="AH244" s="49" t="s">
        <v>2142</v>
      </c>
    </row>
    <row r="245" spans="1:35" s="72" customFormat="1" ht="76.5" customHeight="1">
      <c r="A245" s="281" t="s">
        <v>268</v>
      </c>
      <c r="B245" s="282" t="s">
        <v>1182</v>
      </c>
      <c r="C245" s="283" t="s">
        <v>541</v>
      </c>
      <c r="D245" s="283" t="s">
        <v>557</v>
      </c>
      <c r="E245" s="283" t="s">
        <v>1179</v>
      </c>
      <c r="F245" s="281" t="s">
        <v>1316</v>
      </c>
      <c r="G245" s="281"/>
      <c r="H245" s="342" t="s">
        <v>1323</v>
      </c>
      <c r="I245" s="284" t="s">
        <v>415</v>
      </c>
      <c r="J245" s="282" t="s">
        <v>1199</v>
      </c>
      <c r="K245" s="281"/>
      <c r="L245" s="281" t="s">
        <v>277</v>
      </c>
      <c r="M245" s="283"/>
      <c r="N245" s="283"/>
      <c r="O245" s="283"/>
      <c r="P245" s="283"/>
      <c r="Q245" s="283">
        <v>65</v>
      </c>
      <c r="R245" s="283" t="str">
        <f t="shared" si="38"/>
        <v>SC07783</v>
      </c>
      <c r="S245" s="283" t="str">
        <f t="shared" si="39"/>
        <v>DO07016</v>
      </c>
      <c r="T245" s="283" t="s">
        <v>2219</v>
      </c>
      <c r="U245" s="283">
        <v>4309832</v>
      </c>
      <c r="V245" s="283">
        <v>2652</v>
      </c>
      <c r="W245" s="281">
        <v>4954429</v>
      </c>
      <c r="X245" s="281" t="str">
        <f t="shared" si="37"/>
        <v>PJ07772</v>
      </c>
      <c r="Y245" s="281" t="s">
        <v>1362</v>
      </c>
      <c r="Z245" s="283">
        <v>4015215</v>
      </c>
      <c r="AA245" s="281" t="str">
        <f t="shared" si="40"/>
        <v>PJ07773</v>
      </c>
      <c r="AB245" s="281" t="s">
        <v>1363</v>
      </c>
      <c r="AC245" s="283">
        <v>4015216</v>
      </c>
      <c r="AD245" s="283">
        <v>4225</v>
      </c>
      <c r="AE245" s="281" t="s">
        <v>583</v>
      </c>
      <c r="AF245" s="283" t="s">
        <v>330</v>
      </c>
      <c r="AG245" s="283" t="s">
        <v>413</v>
      </c>
      <c r="AH245" s="49" t="s">
        <v>2143</v>
      </c>
    </row>
    <row r="246" spans="1:35" s="72" customFormat="1" ht="76.5">
      <c r="A246" s="177" t="s">
        <v>268</v>
      </c>
      <c r="B246" s="178" t="s">
        <v>1182</v>
      </c>
      <c r="C246" s="168" t="s">
        <v>549</v>
      </c>
      <c r="D246" s="168" t="s">
        <v>557</v>
      </c>
      <c r="E246" s="168" t="s">
        <v>563</v>
      </c>
      <c r="F246" s="177" t="s">
        <v>1317</v>
      </c>
      <c r="G246" s="177"/>
      <c r="H246" s="340" t="s">
        <v>1332</v>
      </c>
      <c r="I246" s="16" t="s">
        <v>415</v>
      </c>
      <c r="J246" s="178" t="s">
        <v>1199</v>
      </c>
      <c r="K246" s="177"/>
      <c r="L246" s="177" t="s">
        <v>277</v>
      </c>
      <c r="M246" s="168"/>
      <c r="N246" s="168"/>
      <c r="O246" s="168"/>
      <c r="P246" s="168"/>
      <c r="Q246" s="168">
        <v>66</v>
      </c>
      <c r="R246" s="168" t="str">
        <f t="shared" si="38"/>
        <v>SC07790</v>
      </c>
      <c r="S246" s="168" t="str">
        <f t="shared" si="39"/>
        <v>DO07016</v>
      </c>
      <c r="T246" s="186" t="s">
        <v>1335</v>
      </c>
      <c r="U246" s="168">
        <v>4309847</v>
      </c>
      <c r="V246" s="320">
        <v>2652</v>
      </c>
      <c r="W246" s="177">
        <v>4954429</v>
      </c>
      <c r="X246" s="177" t="str">
        <f t="shared" si="37"/>
        <v>PJ07774</v>
      </c>
      <c r="Y246" s="177" t="s">
        <v>1364</v>
      </c>
      <c r="Z246" s="168">
        <v>4015217</v>
      </c>
      <c r="AA246" s="177" t="str">
        <f t="shared" si="40"/>
        <v>PJ07775</v>
      </c>
      <c r="AB246" s="177" t="s">
        <v>1365</v>
      </c>
      <c r="AC246" s="168">
        <v>4015218</v>
      </c>
      <c r="AD246" s="320">
        <v>4225</v>
      </c>
      <c r="AE246" s="177" t="s">
        <v>583</v>
      </c>
      <c r="AF246" s="168" t="s">
        <v>330</v>
      </c>
      <c r="AG246" s="168" t="s">
        <v>413</v>
      </c>
      <c r="AH246" s="49" t="s">
        <v>2144</v>
      </c>
    </row>
    <row r="247" spans="1:35" s="72" customFormat="1" ht="76.5">
      <c r="A247" s="177" t="s">
        <v>268</v>
      </c>
      <c r="B247" s="178" t="s">
        <v>1182</v>
      </c>
      <c r="C247" s="168" t="s">
        <v>540</v>
      </c>
      <c r="D247" s="168" t="s">
        <v>557</v>
      </c>
      <c r="E247" s="168" t="s">
        <v>1183</v>
      </c>
      <c r="F247" s="177" t="s">
        <v>1317</v>
      </c>
      <c r="G247" s="177"/>
      <c r="H247" s="340" t="s">
        <v>1324</v>
      </c>
      <c r="I247" s="16" t="s">
        <v>415</v>
      </c>
      <c r="J247" s="178" t="s">
        <v>1199</v>
      </c>
      <c r="K247" s="177"/>
      <c r="L247" s="177" t="s">
        <v>277</v>
      </c>
      <c r="M247" s="168"/>
      <c r="N247" s="168"/>
      <c r="O247" s="168"/>
      <c r="P247" s="168"/>
      <c r="Q247" s="168">
        <v>67</v>
      </c>
      <c r="R247" s="168" t="str">
        <f t="shared" si="38"/>
        <v>SC07784</v>
      </c>
      <c r="S247" s="168" t="str">
        <f t="shared" si="39"/>
        <v>DO07016</v>
      </c>
      <c r="T247" s="269" t="s">
        <v>2030</v>
      </c>
      <c r="U247" s="168">
        <v>4309831</v>
      </c>
      <c r="V247" s="320">
        <v>2652</v>
      </c>
      <c r="W247" s="177">
        <v>4954429</v>
      </c>
      <c r="X247" s="177" t="str">
        <f t="shared" si="37"/>
        <v>PJ07774</v>
      </c>
      <c r="Y247" s="177" t="s">
        <v>1364</v>
      </c>
      <c r="Z247" s="168">
        <v>4015217</v>
      </c>
      <c r="AA247" s="177" t="str">
        <f t="shared" si="40"/>
        <v>PJ07775</v>
      </c>
      <c r="AB247" s="177" t="s">
        <v>1365</v>
      </c>
      <c r="AC247" s="168">
        <v>4015218</v>
      </c>
      <c r="AD247" s="320">
        <v>4225</v>
      </c>
      <c r="AE247" s="177" t="s">
        <v>583</v>
      </c>
      <c r="AF247" s="168" t="s">
        <v>330</v>
      </c>
      <c r="AG247" s="168" t="s">
        <v>413</v>
      </c>
      <c r="AH247" s="49" t="s">
        <v>2145</v>
      </c>
    </row>
    <row r="248" spans="1:35" ht="76.5">
      <c r="A248" s="177" t="s">
        <v>268</v>
      </c>
      <c r="B248" s="178" t="s">
        <v>1182</v>
      </c>
      <c r="C248" s="168" t="s">
        <v>125</v>
      </c>
      <c r="D248" s="168" t="s">
        <v>181</v>
      </c>
      <c r="E248" s="168" t="s">
        <v>142</v>
      </c>
      <c r="F248" s="177" t="s">
        <v>1317</v>
      </c>
      <c r="G248" s="177"/>
      <c r="H248" s="338" t="s">
        <v>2389</v>
      </c>
      <c r="I248" s="16" t="s">
        <v>415</v>
      </c>
      <c r="J248" s="178" t="s">
        <v>1199</v>
      </c>
      <c r="K248" s="177"/>
      <c r="L248" s="177" t="s">
        <v>277</v>
      </c>
      <c r="M248" s="168"/>
      <c r="N248" s="168"/>
      <c r="O248" s="168"/>
      <c r="P248" s="168"/>
      <c r="Q248" s="168">
        <v>27</v>
      </c>
      <c r="R248" s="168" t="str">
        <f t="shared" si="38"/>
        <v>SC07791</v>
      </c>
      <c r="S248" s="168" t="str">
        <f t="shared" si="39"/>
        <v>DO07038</v>
      </c>
      <c r="T248" s="186" t="s">
        <v>1336</v>
      </c>
      <c r="U248" s="168">
        <v>2896126</v>
      </c>
      <c r="V248" s="320">
        <v>2652</v>
      </c>
      <c r="W248" s="177">
        <v>4954429</v>
      </c>
      <c r="X248" s="177" t="str">
        <f t="shared" si="37"/>
        <v>PJ07774</v>
      </c>
      <c r="Y248" s="177" t="s">
        <v>1364</v>
      </c>
      <c r="Z248" s="168">
        <v>4015217</v>
      </c>
      <c r="AA248" s="177" t="str">
        <f t="shared" si="40"/>
        <v>PJ07775</v>
      </c>
      <c r="AB248" s="177" t="s">
        <v>1365</v>
      </c>
      <c r="AC248" s="168">
        <v>4015218</v>
      </c>
      <c r="AD248" s="320">
        <v>4225</v>
      </c>
      <c r="AE248" s="177" t="s">
        <v>583</v>
      </c>
      <c r="AF248" s="168" t="s">
        <v>330</v>
      </c>
      <c r="AG248" s="168" t="s">
        <v>413</v>
      </c>
      <c r="AH248" s="49" t="s">
        <v>2146</v>
      </c>
    </row>
    <row r="249" spans="1:35" ht="76.5" customHeight="1">
      <c r="A249" s="177" t="s">
        <v>268</v>
      </c>
      <c r="B249" s="178" t="s">
        <v>1182</v>
      </c>
      <c r="C249" s="168" t="s">
        <v>548</v>
      </c>
      <c r="D249" s="168" t="s">
        <v>557</v>
      </c>
      <c r="E249" s="168" t="s">
        <v>565</v>
      </c>
      <c r="F249" s="177" t="s">
        <v>1317</v>
      </c>
      <c r="G249" s="177"/>
      <c r="H249" s="340" t="s">
        <v>1325</v>
      </c>
      <c r="I249" s="16" t="s">
        <v>415</v>
      </c>
      <c r="J249" s="178" t="s">
        <v>1199</v>
      </c>
      <c r="K249" s="177"/>
      <c r="L249" s="177" t="s">
        <v>277</v>
      </c>
      <c r="M249" s="168"/>
      <c r="N249" s="168"/>
      <c r="O249" s="168"/>
      <c r="P249" s="168"/>
      <c r="Q249" s="168">
        <v>68</v>
      </c>
      <c r="R249" s="168" t="str">
        <f t="shared" si="38"/>
        <v>SC07792</v>
      </c>
      <c r="S249" s="168" t="str">
        <f t="shared" si="39"/>
        <v>DO07016</v>
      </c>
      <c r="T249" s="186" t="s">
        <v>1337</v>
      </c>
      <c r="U249" s="168">
        <v>4309845</v>
      </c>
      <c r="V249" s="320">
        <v>2652</v>
      </c>
      <c r="W249" s="177">
        <v>4954429</v>
      </c>
      <c r="X249" s="177" t="str">
        <f t="shared" si="37"/>
        <v>PJ07774</v>
      </c>
      <c r="Y249" s="177" t="s">
        <v>1364</v>
      </c>
      <c r="Z249" s="177">
        <v>4015217</v>
      </c>
      <c r="AA249" s="177" t="str">
        <f t="shared" si="40"/>
        <v>PJ07775</v>
      </c>
      <c r="AB249" s="177" t="s">
        <v>1365</v>
      </c>
      <c r="AC249" s="177">
        <v>4015218</v>
      </c>
      <c r="AD249" s="177">
        <v>4225</v>
      </c>
      <c r="AE249" s="177" t="s">
        <v>583</v>
      </c>
      <c r="AF249" s="168" t="s">
        <v>330</v>
      </c>
      <c r="AG249" s="168" t="s">
        <v>413</v>
      </c>
      <c r="AH249" s="49" t="s">
        <v>2147</v>
      </c>
    </row>
    <row r="250" spans="1:35" ht="76.5" customHeight="1">
      <c r="A250" s="177" t="s">
        <v>268</v>
      </c>
      <c r="B250" s="178" t="s">
        <v>1182</v>
      </c>
      <c r="C250" s="168" t="s">
        <v>544</v>
      </c>
      <c r="D250" s="168" t="s">
        <v>557</v>
      </c>
      <c r="E250" s="168" t="s">
        <v>573</v>
      </c>
      <c r="F250" s="177" t="s">
        <v>1318</v>
      </c>
      <c r="G250" s="177"/>
      <c r="H250" s="340" t="s">
        <v>1327</v>
      </c>
      <c r="I250" s="16" t="s">
        <v>415</v>
      </c>
      <c r="J250" s="178" t="s">
        <v>1199</v>
      </c>
      <c r="K250" s="177"/>
      <c r="L250" s="177" t="s">
        <v>277</v>
      </c>
      <c r="M250" s="168"/>
      <c r="N250" s="168"/>
      <c r="O250" s="168"/>
      <c r="P250" s="168"/>
      <c r="Q250" s="168">
        <v>59</v>
      </c>
      <c r="R250" s="168" t="str">
        <f t="shared" si="38"/>
        <v>SC07798</v>
      </c>
      <c r="S250" s="168" t="str">
        <f t="shared" si="39"/>
        <v>DO07016</v>
      </c>
      <c r="T250" s="186" t="s">
        <v>1338</v>
      </c>
      <c r="U250" s="168">
        <v>4309839</v>
      </c>
      <c r="V250" s="320">
        <v>2652</v>
      </c>
      <c r="W250" s="177">
        <v>4954429</v>
      </c>
      <c r="X250" s="177" t="str">
        <f t="shared" si="37"/>
        <v>PJ07776</v>
      </c>
      <c r="Y250" s="177" t="s">
        <v>1366</v>
      </c>
      <c r="Z250" s="177">
        <v>4015219</v>
      </c>
      <c r="AA250" s="177" t="str">
        <f t="shared" si="40"/>
        <v>PJ07777</v>
      </c>
      <c r="AB250" s="177" t="s">
        <v>1367</v>
      </c>
      <c r="AC250" s="177">
        <v>4015220</v>
      </c>
      <c r="AD250" s="177">
        <v>4225</v>
      </c>
      <c r="AE250" s="177" t="s">
        <v>583</v>
      </c>
      <c r="AF250" s="168" t="s">
        <v>330</v>
      </c>
      <c r="AG250" s="168" t="s">
        <v>413</v>
      </c>
      <c r="AH250" s="49" t="s">
        <v>2148</v>
      </c>
    </row>
    <row r="251" spans="1:35" ht="76.5" customHeight="1">
      <c r="A251" s="177" t="s">
        <v>268</v>
      </c>
      <c r="B251" s="178" t="s">
        <v>1182</v>
      </c>
      <c r="C251" s="168" t="s">
        <v>543</v>
      </c>
      <c r="D251" s="168" t="s">
        <v>557</v>
      </c>
      <c r="E251" s="168" t="s">
        <v>1185</v>
      </c>
      <c r="F251" s="177" t="s">
        <v>1318</v>
      </c>
      <c r="G251" s="177"/>
      <c r="H251" s="340" t="s">
        <v>1329</v>
      </c>
      <c r="I251" s="16" t="s">
        <v>415</v>
      </c>
      <c r="J251" s="178" t="s">
        <v>1199</v>
      </c>
      <c r="K251" s="177"/>
      <c r="L251" s="177" t="s">
        <v>277</v>
      </c>
      <c r="M251" s="168"/>
      <c r="N251" s="168"/>
      <c r="O251" s="168"/>
      <c r="P251" s="168"/>
      <c r="Q251" s="168">
        <v>60</v>
      </c>
      <c r="R251" s="168" t="str">
        <f t="shared" si="38"/>
        <v>SC07799</v>
      </c>
      <c r="S251" s="168" t="str">
        <f t="shared" si="39"/>
        <v>DO07016</v>
      </c>
      <c r="T251" s="186" t="s">
        <v>1339</v>
      </c>
      <c r="U251" s="168">
        <v>4309838</v>
      </c>
      <c r="V251" s="320">
        <v>2652</v>
      </c>
      <c r="W251" s="177">
        <v>4954429</v>
      </c>
      <c r="X251" s="177" t="str">
        <f t="shared" si="37"/>
        <v>PJ07776</v>
      </c>
      <c r="Y251" s="177" t="s">
        <v>1366</v>
      </c>
      <c r="Z251" s="177">
        <v>4015219</v>
      </c>
      <c r="AA251" s="177" t="str">
        <f t="shared" si="40"/>
        <v>PJ07777</v>
      </c>
      <c r="AB251" s="177" t="s">
        <v>1367</v>
      </c>
      <c r="AC251" s="177">
        <v>4015220</v>
      </c>
      <c r="AD251" s="177">
        <v>4225</v>
      </c>
      <c r="AE251" s="177" t="s">
        <v>583</v>
      </c>
      <c r="AF251" s="168" t="s">
        <v>330</v>
      </c>
      <c r="AG251" s="168" t="s">
        <v>413</v>
      </c>
      <c r="AH251" s="49" t="s">
        <v>2149</v>
      </c>
    </row>
    <row r="252" spans="1:35" ht="76.5">
      <c r="A252" s="177" t="s">
        <v>268</v>
      </c>
      <c r="B252" s="178" t="s">
        <v>1182</v>
      </c>
      <c r="C252" s="168" t="s">
        <v>127</v>
      </c>
      <c r="D252" s="168" t="s">
        <v>183</v>
      </c>
      <c r="E252" s="168" t="s">
        <v>144</v>
      </c>
      <c r="F252" s="177" t="s">
        <v>1318</v>
      </c>
      <c r="G252" s="177"/>
      <c r="H252" s="338" t="s">
        <v>2391</v>
      </c>
      <c r="I252" s="16" t="s">
        <v>415</v>
      </c>
      <c r="J252" s="178" t="s">
        <v>1199</v>
      </c>
      <c r="K252" s="177"/>
      <c r="L252" s="177" t="s">
        <v>277</v>
      </c>
      <c r="M252" s="168"/>
      <c r="N252" s="168"/>
      <c r="O252" s="168"/>
      <c r="P252" s="168"/>
      <c r="Q252" s="168">
        <v>12</v>
      </c>
      <c r="R252" s="168" t="str">
        <f t="shared" si="38"/>
        <v>SC07796</v>
      </c>
      <c r="S252" s="168" t="str">
        <f t="shared" si="39"/>
        <v>DO07043</v>
      </c>
      <c r="T252" s="186" t="s">
        <v>1340</v>
      </c>
      <c r="U252" s="168">
        <v>2896128</v>
      </c>
      <c r="V252" s="320">
        <v>2652</v>
      </c>
      <c r="W252" s="177">
        <v>4954429</v>
      </c>
      <c r="X252" s="177" t="str">
        <f t="shared" si="37"/>
        <v>PJ07776</v>
      </c>
      <c r="Y252" s="177" t="s">
        <v>1366</v>
      </c>
      <c r="Z252" s="177">
        <v>4015219</v>
      </c>
      <c r="AA252" s="177" t="str">
        <f t="shared" si="40"/>
        <v>PJ07777</v>
      </c>
      <c r="AB252" s="177" t="s">
        <v>1367</v>
      </c>
      <c r="AC252" s="177">
        <v>4015220</v>
      </c>
      <c r="AD252" s="177">
        <v>4225</v>
      </c>
      <c r="AE252" s="177" t="s">
        <v>583</v>
      </c>
      <c r="AF252" s="168" t="s">
        <v>330</v>
      </c>
      <c r="AG252" s="168" t="s">
        <v>413</v>
      </c>
      <c r="AH252" s="49" t="s">
        <v>2150</v>
      </c>
    </row>
    <row r="253" spans="1:35" ht="76.5">
      <c r="A253" s="177" t="s">
        <v>268</v>
      </c>
      <c r="B253" s="178" t="s">
        <v>1182</v>
      </c>
      <c r="C253" s="168" t="s">
        <v>542</v>
      </c>
      <c r="D253" s="168" t="s">
        <v>557</v>
      </c>
      <c r="E253" s="168" t="s">
        <v>575</v>
      </c>
      <c r="F253" s="177" t="s">
        <v>1318</v>
      </c>
      <c r="G253" s="177"/>
      <c r="H253" s="340" t="s">
        <v>1326</v>
      </c>
      <c r="I253" s="16" t="s">
        <v>415</v>
      </c>
      <c r="J253" s="178" t="s">
        <v>1199</v>
      </c>
      <c r="K253" s="177"/>
      <c r="L253" s="177" t="s">
        <v>277</v>
      </c>
      <c r="M253" s="168"/>
      <c r="N253" s="168"/>
      <c r="O253" s="168"/>
      <c r="P253" s="168"/>
      <c r="Q253" s="168">
        <v>61</v>
      </c>
      <c r="R253" s="168" t="str">
        <f t="shared" si="38"/>
        <v>SC07800</v>
      </c>
      <c r="S253" s="168" t="str">
        <f t="shared" si="39"/>
        <v>DO07016</v>
      </c>
      <c r="T253" s="186" t="s">
        <v>1341</v>
      </c>
      <c r="U253" s="168">
        <v>4309837</v>
      </c>
      <c r="V253" s="320">
        <v>2652</v>
      </c>
      <c r="W253" s="177">
        <v>4954429</v>
      </c>
      <c r="X253" s="177" t="str">
        <f t="shared" si="37"/>
        <v>PJ07776</v>
      </c>
      <c r="Y253" s="177" t="s">
        <v>1366</v>
      </c>
      <c r="Z253" s="177">
        <v>4015219</v>
      </c>
      <c r="AA253" s="177" t="str">
        <f t="shared" si="40"/>
        <v>PJ07777</v>
      </c>
      <c r="AB253" s="177" t="s">
        <v>1367</v>
      </c>
      <c r="AC253" s="177">
        <v>4015220</v>
      </c>
      <c r="AD253" s="177">
        <v>4225</v>
      </c>
      <c r="AE253" s="177" t="s">
        <v>583</v>
      </c>
      <c r="AF253" s="168" t="s">
        <v>330</v>
      </c>
      <c r="AG253" s="168" t="s">
        <v>413</v>
      </c>
      <c r="AH253" s="49" t="s">
        <v>2151</v>
      </c>
    </row>
    <row r="254" spans="1:35" ht="76.5" customHeight="1">
      <c r="A254" s="177" t="s">
        <v>268</v>
      </c>
      <c r="B254" s="178" t="s">
        <v>1182</v>
      </c>
      <c r="C254" s="168" t="s">
        <v>545</v>
      </c>
      <c r="D254" s="168" t="s">
        <v>557</v>
      </c>
      <c r="E254" s="168" t="s">
        <v>571</v>
      </c>
      <c r="F254" s="177" t="s">
        <v>1318</v>
      </c>
      <c r="G254" s="177"/>
      <c r="H254" s="340" t="s">
        <v>1328</v>
      </c>
      <c r="I254" s="16" t="s">
        <v>415</v>
      </c>
      <c r="J254" s="178" t="s">
        <v>1199</v>
      </c>
      <c r="K254" s="177"/>
      <c r="L254" s="177" t="s">
        <v>277</v>
      </c>
      <c r="M254" s="168"/>
      <c r="N254" s="168"/>
      <c r="O254" s="168"/>
      <c r="P254" s="168"/>
      <c r="Q254" s="168">
        <v>62</v>
      </c>
      <c r="R254" s="168" t="str">
        <f t="shared" si="38"/>
        <v>SC07797</v>
      </c>
      <c r="S254" s="168" t="str">
        <f t="shared" si="39"/>
        <v>DO07016</v>
      </c>
      <c r="T254" s="186" t="s">
        <v>1342</v>
      </c>
      <c r="U254" s="168">
        <v>4309840</v>
      </c>
      <c r="V254" s="320">
        <v>2652</v>
      </c>
      <c r="W254" s="177">
        <v>4954429</v>
      </c>
      <c r="X254" s="177" t="str">
        <f t="shared" si="37"/>
        <v>PJ07776</v>
      </c>
      <c r="Y254" s="177" t="s">
        <v>1366</v>
      </c>
      <c r="Z254" s="177">
        <v>4015219</v>
      </c>
      <c r="AA254" s="177" t="str">
        <f t="shared" si="40"/>
        <v>PJ07777</v>
      </c>
      <c r="AB254" s="177" t="s">
        <v>1367</v>
      </c>
      <c r="AC254" s="177">
        <v>4015220</v>
      </c>
      <c r="AD254" s="177">
        <v>4225</v>
      </c>
      <c r="AE254" s="177" t="s">
        <v>583</v>
      </c>
      <c r="AF254" s="168" t="s">
        <v>330</v>
      </c>
      <c r="AG254" s="168" t="s">
        <v>413</v>
      </c>
      <c r="AH254" s="49" t="s">
        <v>2152</v>
      </c>
    </row>
    <row r="255" spans="1:35" ht="76.5" customHeight="1">
      <c r="A255" s="177" t="s">
        <v>268</v>
      </c>
      <c r="B255" s="178" t="s">
        <v>1182</v>
      </c>
      <c r="C255" s="168" t="s">
        <v>126</v>
      </c>
      <c r="D255" s="168" t="s">
        <v>182</v>
      </c>
      <c r="E255" s="168" t="s">
        <v>143</v>
      </c>
      <c r="F255" s="177" t="s">
        <v>1319</v>
      </c>
      <c r="G255" s="177"/>
      <c r="H255" s="340" t="s">
        <v>2401</v>
      </c>
      <c r="I255" s="16" t="s">
        <v>415</v>
      </c>
      <c r="J255" s="178" t="s">
        <v>1199</v>
      </c>
      <c r="K255" s="177"/>
      <c r="L255" s="177" t="s">
        <v>277</v>
      </c>
      <c r="M255" s="168"/>
      <c r="N255" s="168"/>
      <c r="O255" s="168"/>
      <c r="P255" s="168"/>
      <c r="Q255" s="168">
        <v>15</v>
      </c>
      <c r="R255" s="168" t="str">
        <f t="shared" si="38"/>
        <v>SC07793</v>
      </c>
      <c r="S255" s="168" t="str">
        <f t="shared" si="39"/>
        <v>DO07040</v>
      </c>
      <c r="T255" s="186" t="s">
        <v>1343</v>
      </c>
      <c r="U255" s="168">
        <v>2896127</v>
      </c>
      <c r="V255" s="320">
        <v>2652</v>
      </c>
      <c r="W255" s="177">
        <v>4954429</v>
      </c>
      <c r="X255" s="177" t="str">
        <f t="shared" si="37"/>
        <v>PJ07782</v>
      </c>
      <c r="Y255" s="177" t="s">
        <v>1368</v>
      </c>
      <c r="Z255" s="177">
        <v>4015225</v>
      </c>
      <c r="AA255" s="177" t="str">
        <f t="shared" si="40"/>
        <v>PJ07783</v>
      </c>
      <c r="AB255" s="177" t="s">
        <v>1369</v>
      </c>
      <c r="AC255" s="177">
        <v>4015226</v>
      </c>
      <c r="AD255" s="177">
        <v>4225</v>
      </c>
      <c r="AE255" s="177" t="s">
        <v>583</v>
      </c>
      <c r="AF255" s="168" t="s">
        <v>330</v>
      </c>
      <c r="AG255" s="168" t="s">
        <v>413</v>
      </c>
      <c r="AH255" s="49" t="s">
        <v>2153</v>
      </c>
    </row>
    <row r="256" spans="1:35" ht="76.5" customHeight="1">
      <c r="A256" s="177" t="s">
        <v>268</v>
      </c>
      <c r="B256" s="178" t="s">
        <v>1182</v>
      </c>
      <c r="C256" s="168" t="s">
        <v>547</v>
      </c>
      <c r="D256" s="168" t="s">
        <v>557</v>
      </c>
      <c r="E256" s="168" t="s">
        <v>567</v>
      </c>
      <c r="F256" s="177" t="s">
        <v>1319</v>
      </c>
      <c r="G256" s="177"/>
      <c r="H256" s="340" t="s">
        <v>1375</v>
      </c>
      <c r="I256" s="16" t="s">
        <v>415</v>
      </c>
      <c r="J256" s="178" t="s">
        <v>1199</v>
      </c>
      <c r="K256" s="177"/>
      <c r="L256" s="177" t="s">
        <v>277</v>
      </c>
      <c r="M256" s="168"/>
      <c r="N256" s="168"/>
      <c r="O256" s="168"/>
      <c r="P256" s="168"/>
      <c r="Q256" s="168">
        <v>63</v>
      </c>
      <c r="R256" s="168" t="str">
        <f t="shared" si="38"/>
        <v>SC07794</v>
      </c>
      <c r="S256" s="168" t="str">
        <f t="shared" si="39"/>
        <v>DO07016</v>
      </c>
      <c r="T256" s="186" t="s">
        <v>1344</v>
      </c>
      <c r="U256" s="168">
        <v>4309843</v>
      </c>
      <c r="V256" s="320">
        <v>2652</v>
      </c>
      <c r="W256" s="177">
        <v>4954429</v>
      </c>
      <c r="X256" s="177" t="str">
        <f t="shared" si="37"/>
        <v>PJ07782</v>
      </c>
      <c r="Y256" s="177" t="s">
        <v>1368</v>
      </c>
      <c r="Z256" s="177">
        <v>4015225</v>
      </c>
      <c r="AA256" s="177" t="str">
        <f t="shared" si="40"/>
        <v>PJ07783</v>
      </c>
      <c r="AB256" s="177" t="s">
        <v>1369</v>
      </c>
      <c r="AC256" s="177">
        <v>4015226</v>
      </c>
      <c r="AD256" s="177">
        <v>4225</v>
      </c>
      <c r="AE256" s="177" t="s">
        <v>583</v>
      </c>
      <c r="AF256" s="168" t="s">
        <v>330</v>
      </c>
      <c r="AG256" s="168" t="s">
        <v>413</v>
      </c>
      <c r="AH256" s="49" t="s">
        <v>2154</v>
      </c>
    </row>
    <row r="257" spans="1:34" ht="76.5" customHeight="1">
      <c r="A257" s="177" t="s">
        <v>268</v>
      </c>
      <c r="B257" s="178" t="s">
        <v>1182</v>
      </c>
      <c r="C257" s="168" t="s">
        <v>121</v>
      </c>
      <c r="D257" s="168" t="s">
        <v>177</v>
      </c>
      <c r="E257" s="168" t="s">
        <v>138</v>
      </c>
      <c r="F257" s="177" t="s">
        <v>1319</v>
      </c>
      <c r="G257" s="177"/>
      <c r="H257" s="340" t="s">
        <v>2403</v>
      </c>
      <c r="I257" s="16" t="s">
        <v>415</v>
      </c>
      <c r="J257" s="178" t="s">
        <v>1199</v>
      </c>
      <c r="K257" s="177"/>
      <c r="L257" s="177" t="s">
        <v>277</v>
      </c>
      <c r="M257" s="168"/>
      <c r="N257" s="168"/>
      <c r="O257" s="168"/>
      <c r="P257" s="168"/>
      <c r="Q257" s="168">
        <v>17</v>
      </c>
      <c r="R257" s="168" t="str">
        <f t="shared" si="38"/>
        <v>SC07785</v>
      </c>
      <c r="S257" s="168" t="str">
        <f t="shared" si="39"/>
        <v>DO07033</v>
      </c>
      <c r="T257" s="186" t="s">
        <v>1345</v>
      </c>
      <c r="U257" s="168">
        <v>2896122</v>
      </c>
      <c r="V257" s="320">
        <v>2652</v>
      </c>
      <c r="W257" s="177">
        <v>4954429</v>
      </c>
      <c r="X257" s="177" t="str">
        <f t="shared" si="37"/>
        <v>PJ07782</v>
      </c>
      <c r="Y257" s="177" t="s">
        <v>1368</v>
      </c>
      <c r="Z257" s="177">
        <v>4015225</v>
      </c>
      <c r="AA257" s="177" t="str">
        <f t="shared" si="40"/>
        <v>PJ07783</v>
      </c>
      <c r="AB257" s="177" t="s">
        <v>1369</v>
      </c>
      <c r="AC257" s="177">
        <v>4015226</v>
      </c>
      <c r="AD257" s="177">
        <v>4225</v>
      </c>
      <c r="AE257" s="177" t="s">
        <v>583</v>
      </c>
      <c r="AF257" s="168" t="s">
        <v>330</v>
      </c>
      <c r="AG257" s="168" t="s">
        <v>413</v>
      </c>
      <c r="AH257" s="49" t="s">
        <v>2155</v>
      </c>
    </row>
    <row r="258" spans="1:34" ht="76.5">
      <c r="A258" s="177" t="s">
        <v>268</v>
      </c>
      <c r="B258" s="178" t="s">
        <v>1182</v>
      </c>
      <c r="C258" s="168" t="s">
        <v>123</v>
      </c>
      <c r="D258" s="168" t="s">
        <v>179</v>
      </c>
      <c r="E258" s="168" t="s">
        <v>140</v>
      </c>
      <c r="F258" s="177" t="s">
        <v>1320</v>
      </c>
      <c r="G258" s="177"/>
      <c r="H258" s="340" t="s">
        <v>2400</v>
      </c>
      <c r="I258" s="16" t="s">
        <v>415</v>
      </c>
      <c r="J258" s="178" t="s">
        <v>1199</v>
      </c>
      <c r="K258" s="177"/>
      <c r="L258" s="177" t="s">
        <v>277</v>
      </c>
      <c r="M258" s="168"/>
      <c r="N258" s="168"/>
      <c r="O258" s="168"/>
      <c r="P258" s="168"/>
      <c r="Q258" s="168">
        <v>14</v>
      </c>
      <c r="R258" s="168" t="str">
        <f t="shared" si="38"/>
        <v>SC07787</v>
      </c>
      <c r="S258" s="168" t="str">
        <f t="shared" si="39"/>
        <v>DO07035</v>
      </c>
      <c r="T258" s="186" t="s">
        <v>1346</v>
      </c>
      <c r="U258" s="168">
        <v>2896124</v>
      </c>
      <c r="V258" s="320">
        <v>2652</v>
      </c>
      <c r="W258" s="177">
        <v>4954429</v>
      </c>
      <c r="X258" s="177" t="str">
        <f t="shared" si="37"/>
        <v>PJ07784</v>
      </c>
      <c r="Y258" s="177" t="s">
        <v>1370</v>
      </c>
      <c r="Z258" s="177">
        <v>4015227</v>
      </c>
      <c r="AA258" s="177" t="str">
        <f t="shared" si="40"/>
        <v>PJ07785</v>
      </c>
      <c r="AB258" s="177" t="s">
        <v>1371</v>
      </c>
      <c r="AC258" s="177">
        <v>4015228</v>
      </c>
      <c r="AD258" s="177">
        <v>4225</v>
      </c>
      <c r="AE258" s="177" t="s">
        <v>583</v>
      </c>
      <c r="AF258" s="168" t="s">
        <v>330</v>
      </c>
      <c r="AG258" s="168" t="s">
        <v>413</v>
      </c>
      <c r="AH258" s="49" t="s">
        <v>2156</v>
      </c>
    </row>
    <row r="259" spans="1:34" ht="76.5" customHeight="1">
      <c r="A259" s="177" t="s">
        <v>268</v>
      </c>
      <c r="B259" s="178" t="s">
        <v>1182</v>
      </c>
      <c r="C259" s="168" t="s">
        <v>124</v>
      </c>
      <c r="D259" s="168" t="s">
        <v>180</v>
      </c>
      <c r="E259" s="168" t="s">
        <v>141</v>
      </c>
      <c r="F259" s="177" t="s">
        <v>1320</v>
      </c>
      <c r="G259" s="177"/>
      <c r="H259" s="340" t="s">
        <v>2404</v>
      </c>
      <c r="I259" s="16" t="s">
        <v>415</v>
      </c>
      <c r="J259" s="178" t="s">
        <v>1199</v>
      </c>
      <c r="K259" s="177"/>
      <c r="L259" s="177" t="s">
        <v>277</v>
      </c>
      <c r="M259" s="168"/>
      <c r="N259" s="168"/>
      <c r="O259" s="168"/>
      <c r="P259" s="168"/>
      <c r="Q259" s="168">
        <v>18</v>
      </c>
      <c r="R259" s="168" t="str">
        <f t="shared" si="38"/>
        <v>SC07788</v>
      </c>
      <c r="S259" s="168" t="str">
        <f t="shared" si="39"/>
        <v>DO07036</v>
      </c>
      <c r="T259" s="186" t="s">
        <v>1347</v>
      </c>
      <c r="U259" s="168">
        <v>2896125</v>
      </c>
      <c r="V259" s="320">
        <v>2652</v>
      </c>
      <c r="W259" s="177">
        <v>4954429</v>
      </c>
      <c r="X259" s="177" t="str">
        <f t="shared" si="37"/>
        <v>PJ07784</v>
      </c>
      <c r="Y259" s="177" t="s">
        <v>1370</v>
      </c>
      <c r="Z259" s="177">
        <v>4015227</v>
      </c>
      <c r="AA259" s="177" t="str">
        <f t="shared" si="40"/>
        <v>PJ07785</v>
      </c>
      <c r="AB259" s="177" t="s">
        <v>1371</v>
      </c>
      <c r="AC259" s="177">
        <v>4015228</v>
      </c>
      <c r="AD259" s="177">
        <v>4225</v>
      </c>
      <c r="AE259" s="177" t="s">
        <v>583</v>
      </c>
      <c r="AF259" s="168" t="s">
        <v>330</v>
      </c>
      <c r="AG259" s="168" t="s">
        <v>413</v>
      </c>
      <c r="AH259" s="49" t="s">
        <v>2157</v>
      </c>
    </row>
    <row r="260" spans="1:34" ht="76.5" customHeight="1">
      <c r="A260" s="177" t="s">
        <v>268</v>
      </c>
      <c r="B260" s="178" t="s">
        <v>1182</v>
      </c>
      <c r="C260" s="168" t="s">
        <v>546</v>
      </c>
      <c r="D260" s="168" t="s">
        <v>557</v>
      </c>
      <c r="E260" s="168" t="s">
        <v>568</v>
      </c>
      <c r="F260" s="177" t="s">
        <v>1320</v>
      </c>
      <c r="G260" s="177"/>
      <c r="H260" s="340" t="s">
        <v>1330</v>
      </c>
      <c r="I260" s="16" t="s">
        <v>415</v>
      </c>
      <c r="J260" s="178" t="s">
        <v>1199</v>
      </c>
      <c r="K260" s="177"/>
      <c r="L260" s="177" t="s">
        <v>277</v>
      </c>
      <c r="M260" s="168"/>
      <c r="N260" s="168"/>
      <c r="O260" s="168"/>
      <c r="P260" s="168"/>
      <c r="Q260" s="168">
        <v>64</v>
      </c>
      <c r="R260" s="168" t="str">
        <f t="shared" si="38"/>
        <v>SC07795</v>
      </c>
      <c r="S260" s="168" t="str">
        <f t="shared" si="39"/>
        <v>DO07016</v>
      </c>
      <c r="T260" s="186" t="s">
        <v>1348</v>
      </c>
      <c r="U260" s="168">
        <v>4309842</v>
      </c>
      <c r="V260" s="320">
        <v>2652</v>
      </c>
      <c r="W260" s="177">
        <v>4954429</v>
      </c>
      <c r="X260" s="177" t="str">
        <f t="shared" si="37"/>
        <v>PJ07784</v>
      </c>
      <c r="Y260" s="177" t="s">
        <v>1370</v>
      </c>
      <c r="Z260" s="177">
        <v>4015227</v>
      </c>
      <c r="AA260" s="177" t="str">
        <f t="shared" si="40"/>
        <v>PJ07785</v>
      </c>
      <c r="AB260" s="177" t="s">
        <v>1371</v>
      </c>
      <c r="AC260" s="177">
        <v>4015228</v>
      </c>
      <c r="AD260" s="177">
        <v>4225</v>
      </c>
      <c r="AE260" s="177" t="s">
        <v>583</v>
      </c>
      <c r="AF260" s="168" t="s">
        <v>330</v>
      </c>
      <c r="AG260" s="168" t="s">
        <v>413</v>
      </c>
      <c r="AH260" s="49" t="s">
        <v>2158</v>
      </c>
    </row>
    <row r="261" spans="1:34" ht="76.5" customHeight="1">
      <c r="A261" s="177" t="s">
        <v>268</v>
      </c>
      <c r="B261" s="178" t="s">
        <v>1182</v>
      </c>
      <c r="C261" s="168" t="s">
        <v>122</v>
      </c>
      <c r="D261" s="168" t="s">
        <v>178</v>
      </c>
      <c r="E261" s="168" t="s">
        <v>139</v>
      </c>
      <c r="F261" s="177" t="s">
        <v>1320</v>
      </c>
      <c r="G261" s="177"/>
      <c r="H261" s="340" t="s">
        <v>2402</v>
      </c>
      <c r="I261" s="16" t="s">
        <v>415</v>
      </c>
      <c r="J261" s="178" t="s">
        <v>1199</v>
      </c>
      <c r="K261" s="177"/>
      <c r="L261" s="177" t="s">
        <v>277</v>
      </c>
      <c r="M261" s="168"/>
      <c r="N261" s="168"/>
      <c r="O261" s="168"/>
      <c r="P261" s="168"/>
      <c r="Q261" s="168">
        <v>16</v>
      </c>
      <c r="R261" s="168" t="str">
        <f t="shared" si="38"/>
        <v>SC07786</v>
      </c>
      <c r="S261" s="168" t="str">
        <f t="shared" si="39"/>
        <v>DO07034</v>
      </c>
      <c r="T261" s="198" t="s">
        <v>1575</v>
      </c>
      <c r="U261" s="168">
        <v>2896123</v>
      </c>
      <c r="V261" s="320">
        <v>2652</v>
      </c>
      <c r="W261" s="177">
        <v>4954429</v>
      </c>
      <c r="X261" s="177" t="str">
        <f t="shared" si="37"/>
        <v>PJ07784</v>
      </c>
      <c r="Y261" s="177" t="s">
        <v>1370</v>
      </c>
      <c r="Z261" s="177">
        <v>4015227</v>
      </c>
      <c r="AA261" s="177" t="str">
        <f t="shared" si="40"/>
        <v>PJ07785</v>
      </c>
      <c r="AB261" s="177" t="s">
        <v>1371</v>
      </c>
      <c r="AC261" s="177">
        <v>4015228</v>
      </c>
      <c r="AD261" s="177">
        <v>4225</v>
      </c>
      <c r="AE261" s="177" t="s">
        <v>583</v>
      </c>
      <c r="AF261" s="168" t="s">
        <v>330</v>
      </c>
      <c r="AG261" s="168" t="s">
        <v>413</v>
      </c>
      <c r="AH261" s="49" t="s">
        <v>2159</v>
      </c>
    </row>
    <row r="262" spans="1:34" ht="25.5" customHeight="1">
      <c r="A262" s="177" t="s">
        <v>268</v>
      </c>
      <c r="B262" s="178" t="s">
        <v>1182</v>
      </c>
      <c r="C262" s="168" t="s">
        <v>555</v>
      </c>
      <c r="D262" s="168" t="s">
        <v>557</v>
      </c>
      <c r="E262" s="168" t="s">
        <v>1186</v>
      </c>
      <c r="F262" s="177" t="s">
        <v>1321</v>
      </c>
      <c r="G262" s="177"/>
      <c r="H262" s="340" t="s">
        <v>1331</v>
      </c>
      <c r="I262" s="16" t="s">
        <v>415</v>
      </c>
      <c r="J262" s="178" t="s">
        <v>1199</v>
      </c>
      <c r="K262" s="177"/>
      <c r="L262" s="177" t="s">
        <v>277</v>
      </c>
      <c r="M262" s="168"/>
      <c r="N262" s="168"/>
      <c r="O262" s="168"/>
      <c r="P262" s="168"/>
      <c r="Q262" s="168">
        <v>66</v>
      </c>
      <c r="R262" s="168" t="str">
        <f>C262</f>
        <v>SC07821</v>
      </c>
      <c r="S262" s="168" t="str">
        <f>D262</f>
        <v>DO07016</v>
      </c>
      <c r="T262" s="186" t="s">
        <v>1349</v>
      </c>
      <c r="U262" s="168">
        <v>4309857</v>
      </c>
      <c r="V262" s="320">
        <v>2652</v>
      </c>
      <c r="W262" s="177">
        <v>4954429</v>
      </c>
      <c r="X262" s="177" t="str">
        <f t="shared" si="37"/>
        <v>PJ07786</v>
      </c>
      <c r="Y262" s="177" t="s">
        <v>1372</v>
      </c>
      <c r="Z262" s="177">
        <v>4015229</v>
      </c>
      <c r="AA262" s="177" t="str">
        <f t="shared" si="40"/>
        <v>PJ07787</v>
      </c>
      <c r="AB262" s="177" t="s">
        <v>1373</v>
      </c>
      <c r="AC262" s="177">
        <v>4015230</v>
      </c>
      <c r="AD262" s="177">
        <v>4225</v>
      </c>
      <c r="AE262" s="177" t="s">
        <v>583</v>
      </c>
      <c r="AF262" s="168" t="s">
        <v>330</v>
      </c>
      <c r="AG262" s="168" t="s">
        <v>413</v>
      </c>
      <c r="AH262" s="49" t="s">
        <v>2160</v>
      </c>
    </row>
    <row r="263" spans="1:34" ht="25.5" customHeight="1">
      <c r="A263" s="16" t="s">
        <v>268</v>
      </c>
      <c r="B263" s="16" t="s">
        <v>1374</v>
      </c>
      <c r="C263" s="19" t="s">
        <v>1651</v>
      </c>
      <c r="D263" s="17" t="s">
        <v>556</v>
      </c>
      <c r="E263" s="17" t="s">
        <v>149</v>
      </c>
      <c r="F263" s="16" t="s">
        <v>1613</v>
      </c>
      <c r="H263" s="338" t="s">
        <v>2396</v>
      </c>
      <c r="I263" s="16"/>
      <c r="J263" s="16" t="s">
        <v>103</v>
      </c>
      <c r="L263" s="177" t="s">
        <v>277</v>
      </c>
      <c r="Q263" s="88">
        <v>24</v>
      </c>
      <c r="R263" s="16" t="str">
        <f t="shared" ref="R263:R268" si="41">C263</f>
        <v>SC07771</v>
      </c>
      <c r="S263" s="17" t="s">
        <v>556</v>
      </c>
      <c r="T263" s="16" t="s">
        <v>2027</v>
      </c>
      <c r="U263" s="16" t="s">
        <v>294</v>
      </c>
      <c r="V263" s="187">
        <v>2652</v>
      </c>
      <c r="W263" s="16">
        <v>3426369</v>
      </c>
      <c r="X263" s="16" t="str">
        <f>LEFT(F263,7)</f>
        <v>PJ07719</v>
      </c>
      <c r="Y263" s="177" t="s">
        <v>1847</v>
      </c>
      <c r="Z263" s="177" t="s">
        <v>294</v>
      </c>
      <c r="AA263" s="177" t="str">
        <f t="shared" si="40"/>
        <v>PJ07720</v>
      </c>
      <c r="AB263" s="177" t="s">
        <v>1848</v>
      </c>
      <c r="AC263" s="177" t="s">
        <v>294</v>
      </c>
      <c r="AD263" s="177">
        <v>4225</v>
      </c>
      <c r="AE263" s="177">
        <v>3607754</v>
      </c>
      <c r="AF263" s="16" t="s">
        <v>330</v>
      </c>
      <c r="AG263" s="16" t="s">
        <v>413</v>
      </c>
      <c r="AH263" s="49" t="s">
        <v>2161</v>
      </c>
    </row>
    <row r="264" spans="1:34" ht="38.25">
      <c r="A264" s="16" t="s">
        <v>268</v>
      </c>
      <c r="B264" s="16" t="s">
        <v>1374</v>
      </c>
      <c r="C264" s="19" t="s">
        <v>1652</v>
      </c>
      <c r="D264" s="19" t="s">
        <v>556</v>
      </c>
      <c r="E264" s="17" t="s">
        <v>150</v>
      </c>
      <c r="F264" s="16" t="s">
        <v>1614</v>
      </c>
      <c r="H264" s="338" t="s">
        <v>2397</v>
      </c>
      <c r="I264" s="16"/>
      <c r="J264" s="16" t="s">
        <v>103</v>
      </c>
      <c r="L264" s="177" t="s">
        <v>277</v>
      </c>
      <c r="Q264" s="17">
        <v>28</v>
      </c>
      <c r="R264" s="16" t="str">
        <f t="shared" si="41"/>
        <v>SC07770</v>
      </c>
      <c r="S264" s="19" t="s">
        <v>556</v>
      </c>
      <c r="T264" s="239" t="s">
        <v>2026</v>
      </c>
      <c r="U264" s="196" t="s">
        <v>294</v>
      </c>
      <c r="V264" s="187">
        <v>2652</v>
      </c>
      <c r="W264" s="177">
        <v>3426369</v>
      </c>
      <c r="X264" s="178" t="str">
        <f>LEFT(F264,7)</f>
        <v>PJ07721</v>
      </c>
      <c r="Y264" s="177" t="s">
        <v>1849</v>
      </c>
      <c r="Z264" s="177" t="s">
        <v>294</v>
      </c>
      <c r="AA264" s="177" t="str">
        <f t="shared" si="40"/>
        <v>PJ07722</v>
      </c>
      <c r="AB264" s="177" t="s">
        <v>1850</v>
      </c>
      <c r="AC264" s="177" t="s">
        <v>294</v>
      </c>
      <c r="AD264" s="177">
        <v>4225</v>
      </c>
      <c r="AE264" s="177">
        <v>3607754</v>
      </c>
      <c r="AF264" s="88" t="s">
        <v>330</v>
      </c>
      <c r="AG264" s="88" t="s">
        <v>413</v>
      </c>
      <c r="AH264" s="49" t="s">
        <v>2162</v>
      </c>
    </row>
    <row r="265" spans="1:34" ht="63.75">
      <c r="A265" s="16" t="s">
        <v>268</v>
      </c>
      <c r="B265" s="16" t="s">
        <v>1182</v>
      </c>
      <c r="C265" s="19" t="s">
        <v>542</v>
      </c>
      <c r="D265" s="19" t="s">
        <v>1653</v>
      </c>
      <c r="E265" s="17" t="s">
        <v>145</v>
      </c>
      <c r="F265" s="16" t="s">
        <v>1610</v>
      </c>
      <c r="H265" s="338" t="s">
        <v>2392</v>
      </c>
      <c r="I265" s="16"/>
      <c r="J265" s="16" t="s">
        <v>103</v>
      </c>
      <c r="L265" s="177" t="s">
        <v>277</v>
      </c>
      <c r="Q265" s="17">
        <v>13</v>
      </c>
      <c r="R265" s="16" t="str">
        <f t="shared" si="41"/>
        <v>SC07800</v>
      </c>
      <c r="S265" s="19" t="s">
        <v>1653</v>
      </c>
      <c r="T265" s="269" t="s">
        <v>2044</v>
      </c>
      <c r="U265" s="198">
        <v>2873659</v>
      </c>
      <c r="V265" s="187">
        <v>2652</v>
      </c>
      <c r="W265" s="228" t="s">
        <v>1164</v>
      </c>
      <c r="X265" s="178" t="str">
        <f>LEFT(F265,7)</f>
        <v>PJ07811</v>
      </c>
      <c r="Y265" s="177" t="s">
        <v>1887</v>
      </c>
      <c r="Z265" s="177">
        <v>2896151</v>
      </c>
      <c r="AA265" s="177" t="str">
        <f t="shared" si="40"/>
        <v>PJ07812</v>
      </c>
      <c r="AB265" s="177" t="s">
        <v>1888</v>
      </c>
      <c r="AC265" s="177">
        <v>2896152</v>
      </c>
      <c r="AD265" s="177">
        <v>4225</v>
      </c>
      <c r="AE265" s="177" t="s">
        <v>583</v>
      </c>
      <c r="AF265" s="88" t="s">
        <v>330</v>
      </c>
      <c r="AG265" s="88" t="s">
        <v>413</v>
      </c>
      <c r="AH265" s="49" t="s">
        <v>2163</v>
      </c>
    </row>
    <row r="266" spans="1:34" ht="38.25">
      <c r="A266" s="16" t="s">
        <v>268</v>
      </c>
      <c r="B266" s="16" t="s">
        <v>1182</v>
      </c>
      <c r="C266" s="19" t="s">
        <v>555</v>
      </c>
      <c r="D266" s="19" t="s">
        <v>1654</v>
      </c>
      <c r="E266" s="17" t="s">
        <v>147</v>
      </c>
      <c r="F266" s="16" t="s">
        <v>1611</v>
      </c>
      <c r="H266" s="339" t="s">
        <v>2394</v>
      </c>
      <c r="I266" s="16"/>
      <c r="J266" s="16" t="s">
        <v>103</v>
      </c>
      <c r="L266" s="177" t="s">
        <v>277</v>
      </c>
      <c r="Q266" s="17">
        <v>22</v>
      </c>
      <c r="R266" s="16" t="str">
        <f t="shared" si="41"/>
        <v>SC07821</v>
      </c>
      <c r="S266" s="196" t="str">
        <f>D266</f>
        <v>DO07057</v>
      </c>
      <c r="T266" s="290" t="s">
        <v>2247</v>
      </c>
      <c r="U266" s="198">
        <v>2873665</v>
      </c>
      <c r="V266" s="187">
        <v>2652</v>
      </c>
      <c r="W266" s="228" t="s">
        <v>1164</v>
      </c>
      <c r="X266" s="178" t="str">
        <f>LEFT(F266,7)</f>
        <v>PJ07813</v>
      </c>
      <c r="Y266" s="177" t="s">
        <v>1889</v>
      </c>
      <c r="Z266" s="177">
        <v>2896153</v>
      </c>
      <c r="AA266" s="177" t="str">
        <f t="shared" si="40"/>
        <v>PJ07814</v>
      </c>
      <c r="AB266" s="177" t="s">
        <v>1890</v>
      </c>
      <c r="AC266" s="177">
        <v>2896154</v>
      </c>
      <c r="AD266" s="177">
        <v>4225</v>
      </c>
      <c r="AE266" s="177" t="s">
        <v>583</v>
      </c>
      <c r="AF266" s="88" t="s">
        <v>330</v>
      </c>
      <c r="AG266" s="88" t="s">
        <v>413</v>
      </c>
      <c r="AH266" s="49" t="s">
        <v>2164</v>
      </c>
    </row>
    <row r="267" spans="1:34" ht="38.25">
      <c r="A267" s="16" t="s">
        <v>268</v>
      </c>
      <c r="B267" s="16" t="s">
        <v>1182</v>
      </c>
      <c r="C267" s="19" t="s">
        <v>550</v>
      </c>
      <c r="D267" s="19" t="s">
        <v>1655</v>
      </c>
      <c r="E267" s="17" t="s">
        <v>148</v>
      </c>
      <c r="F267" s="16" t="s">
        <v>1612</v>
      </c>
      <c r="H267" s="338" t="s">
        <v>2395</v>
      </c>
      <c r="I267" s="16"/>
      <c r="J267" s="16" t="s">
        <v>103</v>
      </c>
      <c r="L267" s="177" t="s">
        <v>277</v>
      </c>
      <c r="Q267" s="17">
        <v>25</v>
      </c>
      <c r="R267" s="16" t="str">
        <f t="shared" si="41"/>
        <v>SC07818</v>
      </c>
      <c r="S267" s="196" t="str">
        <f>D267</f>
        <v>DO07054</v>
      </c>
      <c r="T267" s="269" t="s">
        <v>2047</v>
      </c>
      <c r="U267" s="198">
        <v>2873664</v>
      </c>
      <c r="V267" s="187">
        <v>2652</v>
      </c>
      <c r="W267" s="228" t="s">
        <v>1164</v>
      </c>
      <c r="X267" s="178" t="str">
        <f>LEFT(F267,7)</f>
        <v>PJ07803</v>
      </c>
      <c r="Y267" s="177" t="s">
        <v>1885</v>
      </c>
      <c r="Z267" s="177">
        <v>2896155</v>
      </c>
      <c r="AA267" s="177" t="str">
        <f t="shared" si="40"/>
        <v>PJ07804</v>
      </c>
      <c r="AB267" s="177" t="s">
        <v>1886</v>
      </c>
      <c r="AC267" s="177">
        <v>2896156</v>
      </c>
      <c r="AD267" s="177">
        <v>4225</v>
      </c>
      <c r="AE267" s="177" t="s">
        <v>583</v>
      </c>
      <c r="AF267" s="88" t="s">
        <v>330</v>
      </c>
      <c r="AG267" s="88" t="s">
        <v>413</v>
      </c>
      <c r="AH267" s="49" t="s">
        <v>2165</v>
      </c>
    </row>
    <row r="268" spans="1:34" ht="63.75">
      <c r="A268" s="16" t="s">
        <v>268</v>
      </c>
      <c r="B268" s="16" t="s">
        <v>1182</v>
      </c>
      <c r="C268" s="19" t="s">
        <v>551</v>
      </c>
      <c r="D268" s="19" t="s">
        <v>1777</v>
      </c>
      <c r="E268" s="19" t="s">
        <v>140</v>
      </c>
      <c r="F268" s="16" t="s">
        <v>1606</v>
      </c>
      <c r="H268" s="340" t="s">
        <v>2400</v>
      </c>
      <c r="I268" s="16"/>
      <c r="J268" s="16" t="s">
        <v>103</v>
      </c>
      <c r="L268" s="177" t="s">
        <v>277</v>
      </c>
      <c r="Q268" s="17">
        <v>14</v>
      </c>
      <c r="R268" s="17" t="str">
        <f t="shared" si="41"/>
        <v>SC07816</v>
      </c>
      <c r="S268" s="17" t="str">
        <f>D268</f>
        <v>DO07052</v>
      </c>
      <c r="T268" s="17" t="s">
        <v>2241</v>
      </c>
      <c r="U268" s="17">
        <v>2873663</v>
      </c>
      <c r="V268" s="187">
        <v>2652</v>
      </c>
      <c r="W268" s="16" t="s">
        <v>1164</v>
      </c>
      <c r="X268" s="17" t="str">
        <f t="shared" ref="X268:X275" si="42">LEFT(F268,7)</f>
        <v>PJ07807</v>
      </c>
      <c r="Y268" s="177" t="s">
        <v>2377</v>
      </c>
      <c r="Z268" s="177">
        <v>2896147</v>
      </c>
      <c r="AA268" s="177" t="str">
        <f t="shared" ref="AA268" si="43">IF(AG268="VEE", RIGHT(F268,7),"n/a")</f>
        <v>PJ07808</v>
      </c>
      <c r="AB268" s="177" t="s">
        <v>591</v>
      </c>
      <c r="AC268" s="177">
        <v>2896148</v>
      </c>
      <c r="AD268" s="177">
        <v>4225</v>
      </c>
      <c r="AE268" s="177" t="s">
        <v>583</v>
      </c>
      <c r="AF268" s="88" t="s">
        <v>330</v>
      </c>
      <c r="AG268" s="88" t="s">
        <v>413</v>
      </c>
      <c r="AH268" s="49" t="s">
        <v>2166</v>
      </c>
    </row>
    <row r="269" spans="1:34" ht="76.5">
      <c r="A269" s="177" t="s">
        <v>268</v>
      </c>
      <c r="B269" s="16" t="s">
        <v>1182</v>
      </c>
      <c r="C269" s="17" t="s">
        <v>1781</v>
      </c>
      <c r="D269" s="17" t="s">
        <v>1195</v>
      </c>
      <c r="E269" s="257" t="s">
        <v>136</v>
      </c>
      <c r="F269" s="11" t="s">
        <v>1180</v>
      </c>
      <c r="H269" s="340" t="s">
        <v>2405</v>
      </c>
      <c r="I269" s="178" t="s">
        <v>415</v>
      </c>
      <c r="J269" s="16" t="s">
        <v>103</v>
      </c>
      <c r="L269" s="177" t="s">
        <v>277</v>
      </c>
      <c r="Q269" s="257">
        <v>21</v>
      </c>
      <c r="R269" s="257" t="str">
        <f t="shared" ref="R269:R274" si="44">C269</f>
        <v>SC07767</v>
      </c>
      <c r="S269" s="257" t="str">
        <f t="shared" ref="S269:S274" si="45">D269</f>
        <v>DO07013</v>
      </c>
      <c r="T269" s="227" t="s">
        <v>2211</v>
      </c>
      <c r="U269" s="260">
        <v>4014458</v>
      </c>
      <c r="V269" s="320">
        <v>2652</v>
      </c>
      <c r="W269" s="177">
        <v>3426369</v>
      </c>
      <c r="X269" s="177" t="str">
        <f t="shared" si="42"/>
        <v>PJ07740</v>
      </c>
      <c r="Y269" s="177" t="s">
        <v>2373</v>
      </c>
      <c r="Z269" s="177">
        <v>2896133</v>
      </c>
      <c r="AA269" s="177" t="str">
        <f>IF(AG269="VEE", RIGHT(F269,7),"n/a")</f>
        <v>PJ07741</v>
      </c>
      <c r="AB269" s="177" t="s">
        <v>1853</v>
      </c>
      <c r="AC269" s="177">
        <v>2896134</v>
      </c>
      <c r="AD269" s="177">
        <v>4225</v>
      </c>
      <c r="AE269" s="177" t="s">
        <v>583</v>
      </c>
      <c r="AF269" s="260" t="s">
        <v>330</v>
      </c>
      <c r="AG269" s="260" t="s">
        <v>413</v>
      </c>
      <c r="AH269" s="49" t="s">
        <v>2167</v>
      </c>
    </row>
    <row r="270" spans="1:34" ht="63.75">
      <c r="A270" s="178" t="s">
        <v>268</v>
      </c>
      <c r="B270" s="11" t="s">
        <v>1182</v>
      </c>
      <c r="C270" s="257" t="s">
        <v>554</v>
      </c>
      <c r="D270" s="257" t="s">
        <v>1782</v>
      </c>
      <c r="E270" s="257" t="s">
        <v>144</v>
      </c>
      <c r="F270" s="178" t="s">
        <v>1624</v>
      </c>
      <c r="H270" s="338" t="s">
        <v>2391</v>
      </c>
      <c r="I270" s="16"/>
      <c r="J270" s="16" t="s">
        <v>103</v>
      </c>
      <c r="L270" s="177" t="s">
        <v>277</v>
      </c>
      <c r="Q270" s="17">
        <v>12</v>
      </c>
      <c r="R270" s="88" t="str">
        <f t="shared" si="44"/>
        <v>SC07813</v>
      </c>
      <c r="S270" s="88" t="str">
        <f t="shared" si="45"/>
        <v>DO07049</v>
      </c>
      <c r="T270" s="88" t="s">
        <v>1784</v>
      </c>
      <c r="U270" s="88" t="s">
        <v>294</v>
      </c>
      <c r="V270" s="187">
        <v>2652</v>
      </c>
      <c r="W270" s="178" t="s">
        <v>1164</v>
      </c>
      <c r="X270" s="178" t="str">
        <f t="shared" si="42"/>
        <v>PJ07750</v>
      </c>
      <c r="Y270" s="177" t="s">
        <v>1856</v>
      </c>
      <c r="Z270" s="177">
        <v>2896141</v>
      </c>
      <c r="AA270" s="177" t="str">
        <f t="shared" ref="AA270:AA271" si="46">IF(AG270="VEE", RIGHT(F270,7),"n/a")</f>
        <v>PJ07751</v>
      </c>
      <c r="AB270" s="177" t="s">
        <v>1857</v>
      </c>
      <c r="AC270" s="177">
        <v>2896142</v>
      </c>
      <c r="AD270" s="177">
        <v>4225</v>
      </c>
      <c r="AE270" s="177" t="s">
        <v>583</v>
      </c>
      <c r="AF270" s="88" t="s">
        <v>330</v>
      </c>
      <c r="AG270" s="88" t="s">
        <v>413</v>
      </c>
      <c r="AH270" s="49" t="s">
        <v>2168</v>
      </c>
    </row>
    <row r="271" spans="1:34" ht="63.75">
      <c r="A271" s="178" t="s">
        <v>268</v>
      </c>
      <c r="B271" s="11" t="s">
        <v>1182</v>
      </c>
      <c r="C271" s="257" t="s">
        <v>553</v>
      </c>
      <c r="D271" s="257" t="s">
        <v>1783</v>
      </c>
      <c r="E271" s="257" t="s">
        <v>144</v>
      </c>
      <c r="F271" s="178" t="s">
        <v>1624</v>
      </c>
      <c r="H271" s="338" t="s">
        <v>2391</v>
      </c>
      <c r="I271" s="16"/>
      <c r="J271" s="16" t="s">
        <v>103</v>
      </c>
      <c r="L271" s="177" t="s">
        <v>277</v>
      </c>
      <c r="Q271" s="17">
        <v>12</v>
      </c>
      <c r="R271" s="88" t="str">
        <f t="shared" si="44"/>
        <v>SC07814</v>
      </c>
      <c r="S271" s="88" t="str">
        <f t="shared" si="45"/>
        <v>DO07050</v>
      </c>
      <c r="T271" s="88" t="s">
        <v>1785</v>
      </c>
      <c r="U271" s="88" t="s">
        <v>294</v>
      </c>
      <c r="V271" s="187">
        <v>2652</v>
      </c>
      <c r="W271" s="178" t="s">
        <v>1164</v>
      </c>
      <c r="X271" s="178" t="str">
        <f t="shared" si="42"/>
        <v>PJ07750</v>
      </c>
      <c r="Y271" s="177" t="s">
        <v>1856</v>
      </c>
      <c r="Z271" s="177">
        <v>2896141</v>
      </c>
      <c r="AA271" s="177" t="str">
        <f t="shared" si="46"/>
        <v>PJ07751</v>
      </c>
      <c r="AB271" s="177" t="s">
        <v>1857</v>
      </c>
      <c r="AC271" s="177">
        <v>2896142</v>
      </c>
      <c r="AD271" s="177">
        <v>4225</v>
      </c>
      <c r="AE271" s="177" t="s">
        <v>583</v>
      </c>
      <c r="AF271" s="88" t="s">
        <v>330</v>
      </c>
      <c r="AG271" s="88" t="s">
        <v>413</v>
      </c>
      <c r="AH271" s="49" t="s">
        <v>2169</v>
      </c>
    </row>
    <row r="272" spans="1:34" ht="63.75">
      <c r="A272" s="16" t="s">
        <v>268</v>
      </c>
      <c r="B272" s="16" t="s">
        <v>1182</v>
      </c>
      <c r="C272" s="19" t="s">
        <v>552</v>
      </c>
      <c r="D272" s="19" t="s">
        <v>1786</v>
      </c>
      <c r="E272" s="257" t="s">
        <v>138</v>
      </c>
      <c r="F272" s="11" t="s">
        <v>1604</v>
      </c>
      <c r="H272" s="340" t="s">
        <v>2403</v>
      </c>
      <c r="I272" s="16"/>
      <c r="J272" s="16" t="s">
        <v>103</v>
      </c>
      <c r="L272" s="177" t="s">
        <v>277</v>
      </c>
      <c r="Q272" s="257">
        <v>17</v>
      </c>
      <c r="R272" s="16" t="str">
        <f t="shared" si="44"/>
        <v>SC07815</v>
      </c>
      <c r="S272" s="257" t="str">
        <f t="shared" si="45"/>
        <v>DO07051</v>
      </c>
      <c r="T272" s="288" t="s">
        <v>2239</v>
      </c>
      <c r="U272" s="16">
        <v>2873662</v>
      </c>
      <c r="V272" s="187">
        <v>2652</v>
      </c>
      <c r="W272" s="228" t="s">
        <v>1164</v>
      </c>
      <c r="X272" s="178" t="str">
        <f t="shared" si="42"/>
        <v>PJ07744</v>
      </c>
      <c r="Y272" s="177" t="s">
        <v>588</v>
      </c>
      <c r="Z272" s="177">
        <v>2896137</v>
      </c>
      <c r="AA272" s="177" t="str">
        <f>IF(AG272="VEE", RIGHT(F272,7),"n/a")</f>
        <v>PJ07745</v>
      </c>
      <c r="AB272" s="177" t="s">
        <v>589</v>
      </c>
      <c r="AC272" s="177">
        <v>2896138</v>
      </c>
      <c r="AD272" s="177">
        <v>4225</v>
      </c>
      <c r="AE272" s="177" t="s">
        <v>583</v>
      </c>
      <c r="AF272" s="88" t="s">
        <v>330</v>
      </c>
      <c r="AG272" s="88" t="s">
        <v>413</v>
      </c>
      <c r="AH272" s="49" t="s">
        <v>2170</v>
      </c>
    </row>
    <row r="273" spans="1:34" ht="76.5">
      <c r="A273" s="177" t="s">
        <v>268</v>
      </c>
      <c r="B273" s="178" t="s">
        <v>1182</v>
      </c>
      <c r="C273" s="177" t="s">
        <v>1796</v>
      </c>
      <c r="D273" s="178" t="s">
        <v>1195</v>
      </c>
      <c r="E273" s="260" t="s">
        <v>1183</v>
      </c>
      <c r="F273" s="177" t="s">
        <v>1298</v>
      </c>
      <c r="H273" s="340" t="s">
        <v>1324</v>
      </c>
      <c r="I273" s="16" t="s">
        <v>351</v>
      </c>
      <c r="J273" s="178" t="s">
        <v>1199</v>
      </c>
      <c r="L273" s="177" t="s">
        <v>277</v>
      </c>
      <c r="Q273" s="260">
        <v>67</v>
      </c>
      <c r="R273" s="260" t="str">
        <f t="shared" si="44"/>
        <v>SC07766</v>
      </c>
      <c r="S273" s="260" t="str">
        <f t="shared" si="45"/>
        <v>DO07013</v>
      </c>
      <c r="T273" s="269" t="s">
        <v>1797</v>
      </c>
      <c r="U273" s="260">
        <v>4014457</v>
      </c>
      <c r="V273" s="320">
        <v>2652</v>
      </c>
      <c r="W273" s="177">
        <v>3426369</v>
      </c>
      <c r="X273" s="178" t="str">
        <f t="shared" si="42"/>
        <v>PJ07713</v>
      </c>
      <c r="Y273" s="177" t="s">
        <v>1352</v>
      </c>
      <c r="Z273" s="286">
        <v>4014419</v>
      </c>
      <c r="AA273" s="177" t="str">
        <f t="shared" ref="AA273:AA275" si="47">IF(AG273="VEE", RIGHT(F273,7),"n/a")</f>
        <v>PJ07714</v>
      </c>
      <c r="AB273" s="177" t="s">
        <v>1353</v>
      </c>
      <c r="AC273" s="286">
        <v>4014420</v>
      </c>
      <c r="AD273" s="320">
        <v>4225</v>
      </c>
      <c r="AE273" s="177" t="s">
        <v>583</v>
      </c>
      <c r="AF273" s="260" t="s">
        <v>330</v>
      </c>
      <c r="AG273" s="260" t="s">
        <v>413</v>
      </c>
      <c r="AH273" s="49" t="s">
        <v>2171</v>
      </c>
    </row>
    <row r="274" spans="1:34" ht="24.75" customHeight="1">
      <c r="A274" s="177" t="s">
        <v>268</v>
      </c>
      <c r="B274" s="178" t="s">
        <v>1182</v>
      </c>
      <c r="C274" s="260" t="s">
        <v>1798</v>
      </c>
      <c r="D274" s="260" t="s">
        <v>1195</v>
      </c>
      <c r="E274" s="260" t="s">
        <v>565</v>
      </c>
      <c r="F274" s="263"/>
      <c r="H274" s="340" t="s">
        <v>1325</v>
      </c>
      <c r="I274" s="16"/>
      <c r="J274" s="178" t="s">
        <v>1199</v>
      </c>
      <c r="L274" s="177" t="s">
        <v>277</v>
      </c>
      <c r="Q274" s="260">
        <v>68</v>
      </c>
      <c r="R274" s="260" t="str">
        <f t="shared" si="44"/>
        <v>SC07768</v>
      </c>
      <c r="S274" s="260" t="str">
        <f t="shared" si="45"/>
        <v>DO07013</v>
      </c>
      <c r="T274" s="269" t="s">
        <v>1799</v>
      </c>
      <c r="U274" s="260">
        <v>4014459</v>
      </c>
      <c r="V274" s="320">
        <v>2652</v>
      </c>
      <c r="W274" s="177">
        <v>3426369</v>
      </c>
      <c r="X274" s="178" t="str">
        <f t="shared" si="42"/>
        <v/>
      </c>
      <c r="Y274" s="263"/>
      <c r="Z274" s="263"/>
      <c r="AA274" s="177" t="str">
        <f t="shared" si="47"/>
        <v/>
      </c>
      <c r="AB274" s="263"/>
      <c r="AC274" s="263"/>
      <c r="AD274" s="263"/>
      <c r="AE274" s="263"/>
      <c r="AF274" s="260" t="s">
        <v>330</v>
      </c>
      <c r="AG274" s="260" t="s">
        <v>413</v>
      </c>
      <c r="AH274" s="49" t="s">
        <v>2172</v>
      </c>
    </row>
    <row r="275" spans="1:34" ht="51" customHeight="1">
      <c r="A275" s="178" t="s">
        <v>2066</v>
      </c>
      <c r="B275" s="178" t="s">
        <v>1182</v>
      </c>
      <c r="C275" s="266" t="s">
        <v>1811</v>
      </c>
      <c r="D275" s="266" t="s">
        <v>1812</v>
      </c>
      <c r="E275" s="266" t="s">
        <v>1813</v>
      </c>
      <c r="F275" s="177" t="s">
        <v>2069</v>
      </c>
      <c r="H275" s="340" t="s">
        <v>1324</v>
      </c>
      <c r="I275" s="177"/>
      <c r="J275" s="337" t="s">
        <v>2415</v>
      </c>
      <c r="L275" s="177" t="s">
        <v>277</v>
      </c>
      <c r="Q275" s="266">
        <v>67</v>
      </c>
      <c r="R275" s="266" t="s">
        <v>1811</v>
      </c>
      <c r="S275" s="266" t="s">
        <v>1812</v>
      </c>
      <c r="T275" s="269" t="s">
        <v>1810</v>
      </c>
      <c r="U275" s="266">
        <v>2873541</v>
      </c>
      <c r="V275" s="320">
        <v>2652</v>
      </c>
      <c r="W275" s="177" t="s">
        <v>1164</v>
      </c>
      <c r="X275" s="178" t="str">
        <f t="shared" si="42"/>
        <v>PJ07795</v>
      </c>
      <c r="Y275" s="178" t="s">
        <v>1878</v>
      </c>
      <c r="Z275" s="178">
        <v>2873539</v>
      </c>
      <c r="AA275" s="178" t="str">
        <f t="shared" si="47"/>
        <v>PJ07796</v>
      </c>
      <c r="AB275" s="178" t="s">
        <v>1879</v>
      </c>
      <c r="AC275" s="178">
        <v>2873540</v>
      </c>
      <c r="AD275" s="337">
        <v>4225</v>
      </c>
      <c r="AE275" s="178" t="s">
        <v>583</v>
      </c>
      <c r="AF275" s="266" t="s">
        <v>330</v>
      </c>
      <c r="AG275" s="266" t="s">
        <v>413</v>
      </c>
      <c r="AH275" s="49" t="s">
        <v>2173</v>
      </c>
    </row>
    <row r="276" spans="1:34" ht="51" customHeight="1">
      <c r="A276" s="4" t="s">
        <v>76</v>
      </c>
      <c r="B276" s="4" t="s">
        <v>1177</v>
      </c>
      <c r="C276" s="3" t="s">
        <v>14</v>
      </c>
      <c r="D276" s="3" t="s">
        <v>23</v>
      </c>
      <c r="E276" s="3" t="s">
        <v>31</v>
      </c>
      <c r="F276" s="306" t="s">
        <v>1445</v>
      </c>
      <c r="G276" s="4"/>
      <c r="H276" s="8" t="s">
        <v>1</v>
      </c>
      <c r="I276" s="181"/>
      <c r="J276" s="293" t="s">
        <v>11</v>
      </c>
      <c r="K276" s="21" t="s">
        <v>347</v>
      </c>
      <c r="L276" s="21" t="s">
        <v>275</v>
      </c>
      <c r="M276" s="356" t="s">
        <v>43</v>
      </c>
      <c r="N276" s="356" t="s">
        <v>74</v>
      </c>
      <c r="O276" s="356" t="s">
        <v>46</v>
      </c>
      <c r="P276" s="350" t="s">
        <v>75</v>
      </c>
      <c r="Q276" s="4">
        <v>30</v>
      </c>
      <c r="R276" s="4" t="str">
        <f t="shared" ref="R276:R287" si="48">C276</f>
        <v>SC07741</v>
      </c>
      <c r="S276" s="4" t="str">
        <f t="shared" ref="S276:S287" si="49">D276</f>
        <v>DO07727</v>
      </c>
      <c r="T276" s="225" t="s">
        <v>2307</v>
      </c>
      <c r="U276" s="45" t="s">
        <v>294</v>
      </c>
      <c r="V276" s="322">
        <v>2690</v>
      </c>
      <c r="W276" s="301" t="s">
        <v>581</v>
      </c>
      <c r="X276" s="45" t="s">
        <v>1453</v>
      </c>
      <c r="Y276" s="90" t="s">
        <v>1455</v>
      </c>
      <c r="Z276" s="46">
        <v>2896258</v>
      </c>
      <c r="AA276" s="173" t="s">
        <v>1454</v>
      </c>
      <c r="AB276" s="90" t="s">
        <v>1456</v>
      </c>
      <c r="AC276" s="46">
        <v>2896259</v>
      </c>
      <c r="AD276" s="318">
        <v>4352</v>
      </c>
      <c r="AE276" s="90" t="s">
        <v>583</v>
      </c>
      <c r="AF276" s="46" t="s">
        <v>330</v>
      </c>
      <c r="AG276" s="46" t="s">
        <v>413</v>
      </c>
      <c r="AH276" s="47"/>
    </row>
    <row r="277" spans="1:34" ht="76.5" customHeight="1">
      <c r="A277" s="4" t="s">
        <v>76</v>
      </c>
      <c r="B277" s="4" t="s">
        <v>1177</v>
      </c>
      <c r="C277" s="22" t="s">
        <v>279</v>
      </c>
      <c r="D277" s="22" t="s">
        <v>280</v>
      </c>
      <c r="E277" s="3" t="s">
        <v>31</v>
      </c>
      <c r="F277" s="306" t="s">
        <v>1445</v>
      </c>
      <c r="G277" s="4"/>
      <c r="H277" s="75" t="s">
        <v>1</v>
      </c>
      <c r="I277" s="181"/>
      <c r="J277" s="293" t="s">
        <v>11</v>
      </c>
      <c r="K277" s="21" t="s">
        <v>347</v>
      </c>
      <c r="L277" s="21" t="s">
        <v>277</v>
      </c>
      <c r="M277" s="356"/>
      <c r="N277" s="356"/>
      <c r="O277" s="356"/>
      <c r="P277" s="350"/>
      <c r="Q277" s="4">
        <v>30</v>
      </c>
      <c r="R277" s="4" t="str">
        <f t="shared" si="48"/>
        <v>SC07789</v>
      </c>
      <c r="S277" s="4" t="str">
        <f t="shared" si="49"/>
        <v>DO07020</v>
      </c>
      <c r="T277" s="225" t="s">
        <v>2317</v>
      </c>
      <c r="U277" s="45" t="s">
        <v>294</v>
      </c>
      <c r="V277" s="322">
        <v>2690</v>
      </c>
      <c r="W277" s="90">
        <v>4954429</v>
      </c>
      <c r="X277" s="45" t="s">
        <v>1453</v>
      </c>
      <c r="Y277" s="90" t="s">
        <v>1455</v>
      </c>
      <c r="Z277" s="46">
        <v>2896258</v>
      </c>
      <c r="AA277" s="173" t="s">
        <v>1454</v>
      </c>
      <c r="AB277" s="90" t="s">
        <v>1456</v>
      </c>
      <c r="AC277" s="46">
        <v>2896259</v>
      </c>
      <c r="AD277" s="318">
        <v>4352</v>
      </c>
      <c r="AE277" s="90" t="s">
        <v>583</v>
      </c>
      <c r="AF277" s="169" t="s">
        <v>330</v>
      </c>
      <c r="AG277" s="169" t="s">
        <v>413</v>
      </c>
      <c r="AH277" s="47"/>
    </row>
    <row r="278" spans="1:34" ht="76.5" customHeight="1">
      <c r="A278" s="4" t="s">
        <v>76</v>
      </c>
      <c r="B278" s="4" t="s">
        <v>1177</v>
      </c>
      <c r="C278" s="3" t="s">
        <v>15</v>
      </c>
      <c r="D278" s="3" t="s">
        <v>24</v>
      </c>
      <c r="E278" s="3" t="s">
        <v>32</v>
      </c>
      <c r="F278" s="306" t="s">
        <v>1444</v>
      </c>
      <c r="G278" s="4"/>
      <c r="H278" s="8" t="s">
        <v>2</v>
      </c>
      <c r="I278" s="181"/>
      <c r="J278" s="293" t="s">
        <v>11</v>
      </c>
      <c r="K278" s="21" t="s">
        <v>347</v>
      </c>
      <c r="L278" s="21" t="s">
        <v>277</v>
      </c>
      <c r="M278" s="356"/>
      <c r="N278" s="356"/>
      <c r="O278" s="356"/>
      <c r="P278" s="350"/>
      <c r="Q278" s="3">
        <v>33</v>
      </c>
      <c r="R278" s="3" t="str">
        <f t="shared" si="48"/>
        <v>SC07831</v>
      </c>
      <c r="S278" s="3" t="str">
        <f t="shared" si="49"/>
        <v>DO07726</v>
      </c>
      <c r="T278" s="225" t="s">
        <v>2320</v>
      </c>
      <c r="U278" s="45" t="s">
        <v>294</v>
      </c>
      <c r="V278" s="322">
        <v>2690</v>
      </c>
      <c r="W278" s="90">
        <v>4954429</v>
      </c>
      <c r="X278" s="173" t="s">
        <v>1457</v>
      </c>
      <c r="Y278" s="90" t="s">
        <v>1459</v>
      </c>
      <c r="Z278" s="46">
        <v>2896256</v>
      </c>
      <c r="AA278" s="173" t="s">
        <v>1458</v>
      </c>
      <c r="AB278" s="90" t="s">
        <v>1460</v>
      </c>
      <c r="AC278" s="46">
        <v>2896257</v>
      </c>
      <c r="AD278" s="318">
        <v>4352</v>
      </c>
      <c r="AE278" s="90" t="s">
        <v>583</v>
      </c>
      <c r="AF278" s="169" t="s">
        <v>330</v>
      </c>
      <c r="AG278" s="169" t="s">
        <v>413</v>
      </c>
      <c r="AH278" s="47"/>
    </row>
    <row r="279" spans="1:34" ht="51" customHeight="1">
      <c r="A279" s="4" t="s">
        <v>76</v>
      </c>
      <c r="B279" s="4" t="s">
        <v>1177</v>
      </c>
      <c r="C279" s="22" t="s">
        <v>276</v>
      </c>
      <c r="D279" s="22" t="s">
        <v>278</v>
      </c>
      <c r="E279" s="3" t="s">
        <v>32</v>
      </c>
      <c r="F279" s="306" t="s">
        <v>1444</v>
      </c>
      <c r="G279" s="4"/>
      <c r="H279" s="8" t="s">
        <v>2</v>
      </c>
      <c r="I279" s="181"/>
      <c r="J279" s="293" t="s">
        <v>11</v>
      </c>
      <c r="K279" s="21" t="s">
        <v>347</v>
      </c>
      <c r="L279" s="21" t="s">
        <v>275</v>
      </c>
      <c r="M279" s="356"/>
      <c r="N279" s="356"/>
      <c r="O279" s="356"/>
      <c r="P279" s="350"/>
      <c r="Q279" s="3">
        <v>33</v>
      </c>
      <c r="R279" s="3" t="str">
        <f t="shared" si="48"/>
        <v>SC07780</v>
      </c>
      <c r="S279" s="3" t="str">
        <f t="shared" si="49"/>
        <v>DO07018</v>
      </c>
      <c r="T279" s="225" t="s">
        <v>2316</v>
      </c>
      <c r="U279" s="45" t="s">
        <v>294</v>
      </c>
      <c r="V279" s="322">
        <v>2690</v>
      </c>
      <c r="W279" s="90">
        <v>4954429</v>
      </c>
      <c r="X279" s="173" t="s">
        <v>1457</v>
      </c>
      <c r="Y279" s="90" t="s">
        <v>1459</v>
      </c>
      <c r="Z279" s="46">
        <v>2896256</v>
      </c>
      <c r="AA279" s="173" t="s">
        <v>1458</v>
      </c>
      <c r="AB279" s="90" t="s">
        <v>1460</v>
      </c>
      <c r="AC279" s="46">
        <v>2896257</v>
      </c>
      <c r="AD279" s="318">
        <v>4352</v>
      </c>
      <c r="AE279" s="90" t="s">
        <v>583</v>
      </c>
      <c r="AF279" s="169" t="s">
        <v>330</v>
      </c>
      <c r="AG279" s="169" t="s">
        <v>413</v>
      </c>
      <c r="AH279" s="47"/>
    </row>
    <row r="280" spans="1:34" ht="76.5" customHeight="1">
      <c r="A280" s="4" t="s">
        <v>76</v>
      </c>
      <c r="B280" s="4" t="s">
        <v>1177</v>
      </c>
      <c r="C280" s="3" t="s">
        <v>16</v>
      </c>
      <c r="D280" s="3" t="s">
        <v>94</v>
      </c>
      <c r="E280" s="3" t="s">
        <v>31</v>
      </c>
      <c r="F280" s="306" t="s">
        <v>1445</v>
      </c>
      <c r="G280" s="4"/>
      <c r="H280" s="8" t="s">
        <v>1</v>
      </c>
      <c r="I280" s="181"/>
      <c r="J280" s="293" t="s">
        <v>0</v>
      </c>
      <c r="K280" s="4"/>
      <c r="L280" s="21" t="s">
        <v>275</v>
      </c>
      <c r="M280" s="356"/>
      <c r="N280" s="356"/>
      <c r="O280" s="356"/>
      <c r="P280" s="350"/>
      <c r="Q280" s="3">
        <v>30</v>
      </c>
      <c r="R280" s="3" t="str">
        <f t="shared" si="48"/>
        <v>SC07834</v>
      </c>
      <c r="S280" s="3" t="str">
        <f t="shared" si="49"/>
        <v>DO07028</v>
      </c>
      <c r="T280" s="225" t="s">
        <v>2321</v>
      </c>
      <c r="U280" s="45" t="s">
        <v>294</v>
      </c>
      <c r="V280" s="322">
        <v>2690</v>
      </c>
      <c r="W280" s="90">
        <v>4954429</v>
      </c>
      <c r="X280" s="45" t="s">
        <v>1453</v>
      </c>
      <c r="Y280" s="90" t="s">
        <v>1455</v>
      </c>
      <c r="Z280" s="46">
        <v>2896258</v>
      </c>
      <c r="AA280" s="173" t="s">
        <v>1454</v>
      </c>
      <c r="AB280" s="90" t="s">
        <v>1456</v>
      </c>
      <c r="AC280" s="46">
        <v>2896259</v>
      </c>
      <c r="AD280" s="318">
        <v>4352</v>
      </c>
      <c r="AE280" s="90" t="s">
        <v>583</v>
      </c>
      <c r="AF280" s="169" t="s">
        <v>330</v>
      </c>
      <c r="AG280" s="169" t="s">
        <v>413</v>
      </c>
      <c r="AH280" s="47"/>
    </row>
    <row r="281" spans="1:34" ht="51" customHeight="1">
      <c r="A281" s="4" t="s">
        <v>76</v>
      </c>
      <c r="B281" s="4" t="s">
        <v>1177</v>
      </c>
      <c r="C281" s="22" t="s">
        <v>17</v>
      </c>
      <c r="D281" s="3" t="s">
        <v>25</v>
      </c>
      <c r="E281" s="3" t="s">
        <v>32</v>
      </c>
      <c r="F281" s="306" t="s">
        <v>1444</v>
      </c>
      <c r="G281" s="4"/>
      <c r="H281" s="8" t="s">
        <v>2</v>
      </c>
      <c r="I281" s="181"/>
      <c r="J281" s="293" t="s">
        <v>0</v>
      </c>
      <c r="K281" s="4"/>
      <c r="L281" s="21" t="s">
        <v>275</v>
      </c>
      <c r="M281" s="356"/>
      <c r="N281" s="356"/>
      <c r="O281" s="356"/>
      <c r="P281" s="350"/>
      <c r="Q281" s="3">
        <v>33</v>
      </c>
      <c r="R281" s="3" t="str">
        <f t="shared" si="48"/>
        <v>SC07835</v>
      </c>
      <c r="S281" s="3" t="str">
        <f t="shared" si="49"/>
        <v>DO07019</v>
      </c>
      <c r="T281" s="225" t="s">
        <v>2322</v>
      </c>
      <c r="U281" s="45" t="s">
        <v>294</v>
      </c>
      <c r="V281" s="322">
        <v>2690</v>
      </c>
      <c r="W281" s="90">
        <v>4954429</v>
      </c>
      <c r="X281" s="173" t="s">
        <v>1457</v>
      </c>
      <c r="Y281" s="90" t="s">
        <v>1459</v>
      </c>
      <c r="Z281" s="46">
        <v>2896256</v>
      </c>
      <c r="AA281" s="173" t="s">
        <v>1458</v>
      </c>
      <c r="AB281" s="90" t="s">
        <v>1460</v>
      </c>
      <c r="AC281" s="46">
        <v>2896257</v>
      </c>
      <c r="AD281" s="318">
        <v>4352</v>
      </c>
      <c r="AE281" s="90" t="s">
        <v>583</v>
      </c>
      <c r="AF281" s="169" t="s">
        <v>330</v>
      </c>
      <c r="AG281" s="169" t="s">
        <v>413</v>
      </c>
      <c r="AH281" s="47"/>
    </row>
    <row r="282" spans="1:34" ht="51" customHeight="1">
      <c r="A282" s="4" t="s">
        <v>76</v>
      </c>
      <c r="B282" s="4" t="s">
        <v>1177</v>
      </c>
      <c r="C282" s="3" t="s">
        <v>18</v>
      </c>
      <c r="D282" s="3" t="s">
        <v>26</v>
      </c>
      <c r="E282" s="3" t="s">
        <v>33</v>
      </c>
      <c r="F282" s="306" t="s">
        <v>1446</v>
      </c>
      <c r="G282" s="4"/>
      <c r="H282" s="8" t="s">
        <v>3</v>
      </c>
      <c r="I282" s="181"/>
      <c r="J282" s="293" t="s">
        <v>11</v>
      </c>
      <c r="K282" s="4"/>
      <c r="L282" s="21" t="s">
        <v>275</v>
      </c>
      <c r="M282" s="356"/>
      <c r="N282" s="356"/>
      <c r="O282" s="356"/>
      <c r="P282" s="350"/>
      <c r="Q282" s="3">
        <v>29</v>
      </c>
      <c r="R282" s="3" t="str">
        <f t="shared" si="48"/>
        <v>SC07823</v>
      </c>
      <c r="S282" s="3" t="str">
        <f t="shared" si="49"/>
        <v>DO07021</v>
      </c>
      <c r="T282" s="225" t="s">
        <v>2318</v>
      </c>
      <c r="U282" s="45" t="s">
        <v>294</v>
      </c>
      <c r="V282" s="322">
        <v>2690</v>
      </c>
      <c r="W282" s="90">
        <v>4954429</v>
      </c>
      <c r="X282" s="173" t="s">
        <v>1461</v>
      </c>
      <c r="Y282" s="90" t="s">
        <v>1463</v>
      </c>
      <c r="Z282" s="46">
        <v>2896260</v>
      </c>
      <c r="AA282" s="173" t="s">
        <v>1462</v>
      </c>
      <c r="AB282" s="90" t="s">
        <v>1464</v>
      </c>
      <c r="AC282" s="46">
        <v>2896261</v>
      </c>
      <c r="AD282" s="318">
        <v>4352</v>
      </c>
      <c r="AE282" s="90" t="s">
        <v>583</v>
      </c>
      <c r="AF282" s="169" t="s">
        <v>330</v>
      </c>
      <c r="AG282" s="169" t="s">
        <v>413</v>
      </c>
      <c r="AH282" s="47"/>
    </row>
    <row r="283" spans="1:34" ht="51" customHeight="1">
      <c r="A283" s="4" t="s">
        <v>76</v>
      </c>
      <c r="B283" s="4" t="s">
        <v>1177</v>
      </c>
      <c r="C283" s="3" t="s">
        <v>19</v>
      </c>
      <c r="D283" s="3" t="s">
        <v>27</v>
      </c>
      <c r="E283" s="3" t="s">
        <v>33</v>
      </c>
      <c r="F283" s="306" t="s">
        <v>1446</v>
      </c>
      <c r="G283" s="4"/>
      <c r="H283" s="8" t="s">
        <v>3</v>
      </c>
      <c r="I283" s="181"/>
      <c r="J283" s="293" t="s">
        <v>0</v>
      </c>
      <c r="K283" s="4"/>
      <c r="L283" s="21" t="s">
        <v>275</v>
      </c>
      <c r="M283" s="356"/>
      <c r="N283" s="356"/>
      <c r="O283" s="356"/>
      <c r="P283" s="350"/>
      <c r="Q283" s="3">
        <v>29</v>
      </c>
      <c r="R283" s="3" t="str">
        <f t="shared" si="48"/>
        <v>SC07836</v>
      </c>
      <c r="S283" s="3" t="str">
        <f t="shared" si="49"/>
        <v>DO07022</v>
      </c>
      <c r="T283" s="225" t="s">
        <v>2323</v>
      </c>
      <c r="U283" s="45" t="s">
        <v>294</v>
      </c>
      <c r="V283" s="322">
        <v>2690</v>
      </c>
      <c r="W283" s="90">
        <v>4954429</v>
      </c>
      <c r="X283" s="173" t="s">
        <v>1461</v>
      </c>
      <c r="Y283" s="90" t="s">
        <v>1463</v>
      </c>
      <c r="Z283" s="46">
        <v>2896260</v>
      </c>
      <c r="AA283" s="173" t="s">
        <v>1462</v>
      </c>
      <c r="AB283" s="90" t="s">
        <v>1464</v>
      </c>
      <c r="AC283" s="46">
        <v>2896261</v>
      </c>
      <c r="AD283" s="318">
        <v>4352</v>
      </c>
      <c r="AE283" s="90" t="s">
        <v>583</v>
      </c>
      <c r="AF283" s="169" t="s">
        <v>330</v>
      </c>
      <c r="AG283" s="169" t="s">
        <v>413</v>
      </c>
      <c r="AH283" s="47"/>
    </row>
    <row r="284" spans="1:34" ht="51" customHeight="1">
      <c r="A284" s="4" t="s">
        <v>76</v>
      </c>
      <c r="B284" s="4" t="s">
        <v>1177</v>
      </c>
      <c r="C284" s="3" t="s">
        <v>20</v>
      </c>
      <c r="D284" s="3" t="s">
        <v>28</v>
      </c>
      <c r="E284" s="3" t="s">
        <v>34</v>
      </c>
      <c r="F284" s="306" t="s">
        <v>1447</v>
      </c>
      <c r="G284" s="4"/>
      <c r="H284" s="8" t="s">
        <v>4</v>
      </c>
      <c r="I284" s="181"/>
      <c r="J284" s="293" t="s">
        <v>11</v>
      </c>
      <c r="K284" s="4"/>
      <c r="L284" s="21" t="s">
        <v>275</v>
      </c>
      <c r="M284" s="356"/>
      <c r="N284" s="356"/>
      <c r="O284" s="356"/>
      <c r="P284" s="350"/>
      <c r="Q284" s="3">
        <v>31</v>
      </c>
      <c r="R284" s="3" t="str">
        <f t="shared" si="48"/>
        <v>SC07824</v>
      </c>
      <c r="S284" s="3" t="str">
        <f t="shared" si="49"/>
        <v>DO07023</v>
      </c>
      <c r="T284" s="225" t="s">
        <v>2319</v>
      </c>
      <c r="U284" s="45" t="s">
        <v>294</v>
      </c>
      <c r="V284" s="322">
        <v>2690</v>
      </c>
      <c r="W284" s="90">
        <v>4954429</v>
      </c>
      <c r="X284" s="173" t="s">
        <v>1465</v>
      </c>
      <c r="Y284" s="90" t="s">
        <v>1467</v>
      </c>
      <c r="Z284" s="46">
        <v>2896262</v>
      </c>
      <c r="AA284" s="173" t="s">
        <v>1466</v>
      </c>
      <c r="AB284" s="90" t="s">
        <v>1468</v>
      </c>
      <c r="AC284" s="46">
        <v>2896263</v>
      </c>
      <c r="AD284" s="318">
        <v>4352</v>
      </c>
      <c r="AE284" s="90" t="s">
        <v>583</v>
      </c>
      <c r="AF284" s="169" t="s">
        <v>330</v>
      </c>
      <c r="AG284" s="169" t="s">
        <v>413</v>
      </c>
      <c r="AH284" s="47"/>
    </row>
    <row r="285" spans="1:34" ht="63.75" customHeight="1">
      <c r="A285" s="4" t="s">
        <v>76</v>
      </c>
      <c r="B285" s="4" t="s">
        <v>1177</v>
      </c>
      <c r="C285" s="3" t="s">
        <v>21</v>
      </c>
      <c r="D285" s="3" t="s">
        <v>29</v>
      </c>
      <c r="E285" s="3" t="s">
        <v>34</v>
      </c>
      <c r="F285" s="306" t="s">
        <v>1447</v>
      </c>
      <c r="G285" s="4"/>
      <c r="H285" s="8" t="s">
        <v>4</v>
      </c>
      <c r="I285" s="181"/>
      <c r="J285" s="293" t="s">
        <v>0</v>
      </c>
      <c r="K285" s="4"/>
      <c r="L285" s="21" t="s">
        <v>275</v>
      </c>
      <c r="M285" s="356"/>
      <c r="N285" s="356"/>
      <c r="O285" s="356"/>
      <c r="P285" s="350"/>
      <c r="Q285" s="3">
        <v>31</v>
      </c>
      <c r="R285" s="3" t="str">
        <f t="shared" si="48"/>
        <v>SC07837</v>
      </c>
      <c r="S285" s="3" t="str">
        <f t="shared" si="49"/>
        <v>DO07024</v>
      </c>
      <c r="T285" s="225" t="s">
        <v>2324</v>
      </c>
      <c r="U285" s="45" t="s">
        <v>294</v>
      </c>
      <c r="V285" s="322">
        <v>2690</v>
      </c>
      <c r="W285" s="90">
        <v>4954429</v>
      </c>
      <c r="X285" s="173" t="s">
        <v>1465</v>
      </c>
      <c r="Y285" s="90" t="s">
        <v>1467</v>
      </c>
      <c r="Z285" s="46">
        <v>2896262</v>
      </c>
      <c r="AA285" s="173" t="s">
        <v>1466</v>
      </c>
      <c r="AB285" s="90" t="s">
        <v>1468</v>
      </c>
      <c r="AC285" s="46">
        <v>2896263</v>
      </c>
      <c r="AD285" s="318">
        <v>4352</v>
      </c>
      <c r="AE285" s="90" t="s">
        <v>583</v>
      </c>
      <c r="AF285" s="169" t="s">
        <v>330</v>
      </c>
      <c r="AG285" s="169" t="s">
        <v>413</v>
      </c>
      <c r="AH285" s="47"/>
    </row>
    <row r="286" spans="1:34" ht="63.75" customHeight="1">
      <c r="A286" s="4" t="s">
        <v>76</v>
      </c>
      <c r="B286" s="4" t="s">
        <v>1177</v>
      </c>
      <c r="C286" s="3" t="s">
        <v>22</v>
      </c>
      <c r="D286" s="3" t="s">
        <v>30</v>
      </c>
      <c r="E286" s="3" t="s">
        <v>35</v>
      </c>
      <c r="F286" s="306" t="s">
        <v>1448</v>
      </c>
      <c r="G286" s="4"/>
      <c r="H286" s="8" t="s">
        <v>12</v>
      </c>
      <c r="I286" s="181"/>
      <c r="J286" s="293" t="s">
        <v>11</v>
      </c>
      <c r="K286" s="4"/>
      <c r="L286" s="21" t="s">
        <v>275</v>
      </c>
      <c r="M286" s="356"/>
      <c r="N286" s="356"/>
      <c r="O286" s="356"/>
      <c r="P286" s="350"/>
      <c r="Q286" s="3">
        <v>32</v>
      </c>
      <c r="R286" s="3" t="str">
        <f t="shared" si="48"/>
        <v>SC07838</v>
      </c>
      <c r="S286" s="3" t="str">
        <f t="shared" si="49"/>
        <v>DO07025</v>
      </c>
      <c r="T286" s="225" t="s">
        <v>2290</v>
      </c>
      <c r="U286" s="45" t="s">
        <v>294</v>
      </c>
      <c r="V286" s="322">
        <v>2690</v>
      </c>
      <c r="W286" s="90">
        <v>4954429</v>
      </c>
      <c r="X286" s="173" t="s">
        <v>1469</v>
      </c>
      <c r="Y286" s="90" t="s">
        <v>1471</v>
      </c>
      <c r="Z286" s="46">
        <v>2896264</v>
      </c>
      <c r="AA286" s="173" t="s">
        <v>1470</v>
      </c>
      <c r="AB286" s="90" t="s">
        <v>1472</v>
      </c>
      <c r="AC286" s="46">
        <v>2896265</v>
      </c>
      <c r="AD286" s="318">
        <v>4352</v>
      </c>
      <c r="AE286" s="90" t="s">
        <v>583</v>
      </c>
      <c r="AF286" s="169" t="s">
        <v>330</v>
      </c>
      <c r="AG286" s="169" t="s">
        <v>413</v>
      </c>
      <c r="AH286" s="47"/>
    </row>
    <row r="287" spans="1:34" ht="76.5" customHeight="1">
      <c r="A287" s="4" t="s">
        <v>76</v>
      </c>
      <c r="B287" s="4" t="s">
        <v>1177</v>
      </c>
      <c r="C287" s="3" t="s">
        <v>272</v>
      </c>
      <c r="D287" s="3" t="s">
        <v>273</v>
      </c>
      <c r="E287" s="22" t="s">
        <v>35</v>
      </c>
      <c r="F287" s="306" t="s">
        <v>1448</v>
      </c>
      <c r="G287" s="4"/>
      <c r="H287" s="75" t="s">
        <v>12</v>
      </c>
      <c r="I287" s="181"/>
      <c r="J287" s="293" t="s">
        <v>0</v>
      </c>
      <c r="K287" s="4"/>
      <c r="L287" s="21" t="s">
        <v>275</v>
      </c>
      <c r="M287" s="3"/>
      <c r="N287" s="3"/>
      <c r="O287" s="3"/>
      <c r="P287" s="3"/>
      <c r="Q287" s="3">
        <v>32</v>
      </c>
      <c r="R287" s="3" t="str">
        <f t="shared" si="48"/>
        <v>SC07878</v>
      </c>
      <c r="S287" s="3" t="str">
        <f t="shared" si="49"/>
        <v>DO07100</v>
      </c>
      <c r="T287" s="225" t="s">
        <v>2291</v>
      </c>
      <c r="U287" s="45" t="s">
        <v>294</v>
      </c>
      <c r="V287" s="322">
        <v>2690</v>
      </c>
      <c r="W287" s="90">
        <v>4954429</v>
      </c>
      <c r="X287" s="173" t="s">
        <v>1469</v>
      </c>
      <c r="Y287" s="90" t="s">
        <v>1471</v>
      </c>
      <c r="Z287" s="46">
        <v>2896264</v>
      </c>
      <c r="AA287" s="173" t="s">
        <v>1470</v>
      </c>
      <c r="AB287" s="90" t="s">
        <v>1472</v>
      </c>
      <c r="AC287" s="46">
        <v>2896265</v>
      </c>
      <c r="AD287" s="318">
        <v>4352</v>
      </c>
      <c r="AE287" s="90" t="s">
        <v>583</v>
      </c>
      <c r="AF287" s="169" t="s">
        <v>330</v>
      </c>
      <c r="AG287" s="169" t="s">
        <v>413</v>
      </c>
      <c r="AH287" s="47"/>
    </row>
    <row r="288" spans="1:34" ht="51" customHeight="1">
      <c r="A288" s="21" t="s">
        <v>76</v>
      </c>
      <c r="B288" s="21" t="s">
        <v>1177</v>
      </c>
      <c r="C288" s="22" t="s">
        <v>276</v>
      </c>
      <c r="D288" s="22" t="s">
        <v>24</v>
      </c>
      <c r="E288" s="21" t="s">
        <v>32</v>
      </c>
      <c r="F288" s="21" t="s">
        <v>1444</v>
      </c>
      <c r="G288" s="21"/>
      <c r="H288" s="75" t="s">
        <v>2</v>
      </c>
      <c r="I288" s="21" t="s">
        <v>539</v>
      </c>
      <c r="J288" s="297" t="s">
        <v>2415</v>
      </c>
      <c r="K288" s="21"/>
      <c r="L288" s="21" t="s">
        <v>275</v>
      </c>
      <c r="M288" s="22"/>
      <c r="N288" s="22"/>
      <c r="O288" s="22"/>
      <c r="P288" s="22"/>
      <c r="Q288" s="22">
        <v>33</v>
      </c>
      <c r="R288" s="22" t="str">
        <f>C288</f>
        <v>SC07780</v>
      </c>
      <c r="S288" s="22" t="s">
        <v>24</v>
      </c>
      <c r="T288" s="22" t="s">
        <v>2308</v>
      </c>
      <c r="U288" s="22">
        <v>4309860</v>
      </c>
      <c r="V288" s="322">
        <v>2690</v>
      </c>
      <c r="W288" s="173">
        <v>3426369</v>
      </c>
      <c r="X288" s="173" t="s">
        <v>1457</v>
      </c>
      <c r="Y288" s="175" t="s">
        <v>1459</v>
      </c>
      <c r="Z288" s="46">
        <v>2896256</v>
      </c>
      <c r="AA288" s="173" t="s">
        <v>1458</v>
      </c>
      <c r="AB288" s="175" t="s">
        <v>1460</v>
      </c>
      <c r="AC288" s="46">
        <v>2896257</v>
      </c>
      <c r="AD288" s="318">
        <v>4352</v>
      </c>
      <c r="AE288" s="175" t="s">
        <v>583</v>
      </c>
      <c r="AF288" s="46" t="s">
        <v>330</v>
      </c>
      <c r="AG288" s="46" t="s">
        <v>413</v>
      </c>
      <c r="AH288" s="237"/>
    </row>
    <row r="289" spans="1:253" ht="63.75" customHeight="1">
      <c r="A289" s="21" t="s">
        <v>76</v>
      </c>
      <c r="B289" s="21" t="s">
        <v>1177</v>
      </c>
      <c r="C289" s="22" t="s">
        <v>18</v>
      </c>
      <c r="D289" s="22" t="s">
        <v>24</v>
      </c>
      <c r="E289" s="21" t="s">
        <v>33</v>
      </c>
      <c r="F289" s="21" t="s">
        <v>1446</v>
      </c>
      <c r="G289" s="21"/>
      <c r="H289" s="75" t="s">
        <v>3</v>
      </c>
      <c r="I289" s="21" t="s">
        <v>539</v>
      </c>
      <c r="J289" s="21" t="s">
        <v>11</v>
      </c>
      <c r="K289" s="22"/>
      <c r="L289" s="21" t="s">
        <v>275</v>
      </c>
      <c r="M289" s="22"/>
      <c r="N289" s="22"/>
      <c r="O289" s="46"/>
      <c r="P289" s="46"/>
      <c r="Q289" s="46">
        <v>29</v>
      </c>
      <c r="R289" s="22" t="str">
        <f>C289</f>
        <v>SC07823</v>
      </c>
      <c r="S289" s="22" t="s">
        <v>24</v>
      </c>
      <c r="T289" s="236" t="s">
        <v>2310</v>
      </c>
      <c r="U289" s="46">
        <v>4309861</v>
      </c>
      <c r="V289" s="322">
        <v>2690</v>
      </c>
      <c r="W289" s="173" t="s">
        <v>1164</v>
      </c>
      <c r="X289" s="173" t="s">
        <v>1461</v>
      </c>
      <c r="Y289" s="175" t="s">
        <v>1463</v>
      </c>
      <c r="Z289" s="46">
        <v>2896260</v>
      </c>
      <c r="AA289" s="173" t="s">
        <v>1462</v>
      </c>
      <c r="AB289" s="175" t="s">
        <v>1464</v>
      </c>
      <c r="AC289" s="46">
        <v>2896261</v>
      </c>
      <c r="AD289" s="318">
        <v>4352</v>
      </c>
      <c r="AE289" s="175" t="s">
        <v>583</v>
      </c>
      <c r="AF289" s="46" t="s">
        <v>330</v>
      </c>
      <c r="AG289" s="46" t="s">
        <v>413</v>
      </c>
      <c r="AH289" s="46"/>
      <c r="IO289" s="4"/>
      <c r="IP289" s="3"/>
      <c r="IQ289" s="3"/>
      <c r="IR289" s="3"/>
      <c r="IS289" s="4"/>
    </row>
    <row r="290" spans="1:253" ht="51" customHeight="1">
      <c r="A290" s="21" t="s">
        <v>76</v>
      </c>
      <c r="B290" s="21" t="s">
        <v>1177</v>
      </c>
      <c r="C290" s="22" t="s">
        <v>279</v>
      </c>
      <c r="D290" s="22" t="s">
        <v>23</v>
      </c>
      <c r="E290" s="21" t="s">
        <v>558</v>
      </c>
      <c r="F290" s="21" t="s">
        <v>1445</v>
      </c>
      <c r="G290" s="21"/>
      <c r="H290" s="75" t="s">
        <v>559</v>
      </c>
      <c r="I290" s="21" t="s">
        <v>539</v>
      </c>
      <c r="J290" s="21" t="s">
        <v>11</v>
      </c>
      <c r="K290" s="21"/>
      <c r="L290" s="21" t="s">
        <v>277</v>
      </c>
      <c r="M290" s="22"/>
      <c r="N290" s="22"/>
      <c r="O290" s="22"/>
      <c r="P290" s="22"/>
      <c r="Q290" s="22" t="s">
        <v>294</v>
      </c>
      <c r="R290" s="22" t="str">
        <f>C290</f>
        <v>SC07789</v>
      </c>
      <c r="S290" s="22" t="s">
        <v>23</v>
      </c>
      <c r="T290" s="22" t="s">
        <v>2309</v>
      </c>
      <c r="U290" s="22">
        <v>4309862</v>
      </c>
      <c r="V290" s="322">
        <v>2690</v>
      </c>
      <c r="W290" s="173" t="s">
        <v>1164</v>
      </c>
      <c r="X290" s="173" t="s">
        <v>1453</v>
      </c>
      <c r="Y290" s="175" t="s">
        <v>1455</v>
      </c>
      <c r="Z290" s="46">
        <v>2896258</v>
      </c>
      <c r="AA290" s="173" t="s">
        <v>1454</v>
      </c>
      <c r="AB290" s="175" t="s">
        <v>1456</v>
      </c>
      <c r="AC290" s="46">
        <v>2896259</v>
      </c>
      <c r="AD290" s="318">
        <v>4352</v>
      </c>
      <c r="AE290" s="175" t="s">
        <v>583</v>
      </c>
      <c r="AF290" s="46" t="s">
        <v>330</v>
      </c>
      <c r="AG290" s="46" t="s">
        <v>413</v>
      </c>
      <c r="AH290" s="237"/>
    </row>
    <row r="291" spans="1:253" ht="63.75" customHeight="1">
      <c r="A291" s="21" t="s">
        <v>76</v>
      </c>
      <c r="B291" s="21" t="s">
        <v>1177</v>
      </c>
      <c r="C291" s="22" t="s">
        <v>20</v>
      </c>
      <c r="D291" s="22" t="s">
        <v>23</v>
      </c>
      <c r="E291" s="21" t="s">
        <v>34</v>
      </c>
      <c r="F291" s="21" t="s">
        <v>1447</v>
      </c>
      <c r="G291" s="21"/>
      <c r="H291" s="75" t="s">
        <v>4</v>
      </c>
      <c r="I291" s="21" t="s">
        <v>539</v>
      </c>
      <c r="J291" s="21" t="s">
        <v>11</v>
      </c>
      <c r="K291" s="21"/>
      <c r="L291" s="21" t="s">
        <v>275</v>
      </c>
      <c r="M291" s="22"/>
      <c r="N291" s="22"/>
      <c r="O291" s="22"/>
      <c r="P291" s="22"/>
      <c r="Q291" s="22">
        <v>31</v>
      </c>
      <c r="R291" s="22" t="str">
        <f>C291</f>
        <v>SC07824</v>
      </c>
      <c r="S291" s="307" t="s">
        <v>23</v>
      </c>
      <c r="T291" s="22" t="s">
        <v>2311</v>
      </c>
      <c r="U291" s="22">
        <v>4309863</v>
      </c>
      <c r="V291" s="322">
        <v>2690</v>
      </c>
      <c r="W291" s="173" t="s">
        <v>1164</v>
      </c>
      <c r="X291" s="173" t="s">
        <v>1465</v>
      </c>
      <c r="Y291" s="175" t="s">
        <v>1467</v>
      </c>
      <c r="Z291" s="46">
        <v>2896262</v>
      </c>
      <c r="AA291" s="173" t="s">
        <v>1466</v>
      </c>
      <c r="AB291" s="175" t="s">
        <v>1468</v>
      </c>
      <c r="AC291" s="46">
        <v>2896263</v>
      </c>
      <c r="AD291" s="318">
        <v>4352</v>
      </c>
      <c r="AE291" s="175" t="s">
        <v>583</v>
      </c>
      <c r="AF291" s="46" t="s">
        <v>330</v>
      </c>
      <c r="AG291" s="46" t="s">
        <v>413</v>
      </c>
      <c r="AH291" s="237"/>
    </row>
    <row r="292" spans="1:253" s="2" customFormat="1" ht="63.75" customHeight="1">
      <c r="A292" s="173" t="s">
        <v>76</v>
      </c>
      <c r="B292" s="45" t="s">
        <v>1177</v>
      </c>
      <c r="C292" s="169" t="s">
        <v>1187</v>
      </c>
      <c r="D292" s="169" t="s">
        <v>1188</v>
      </c>
      <c r="E292" s="169" t="s">
        <v>1189</v>
      </c>
      <c r="F292" s="306" t="s">
        <v>1669</v>
      </c>
      <c r="G292" s="182"/>
      <c r="H292" s="8" t="s">
        <v>12</v>
      </c>
      <c r="I292" s="173"/>
      <c r="J292" s="297" t="s">
        <v>2415</v>
      </c>
      <c r="K292" s="182"/>
      <c r="L292" s="45" t="s">
        <v>277</v>
      </c>
      <c r="M292" s="183"/>
      <c r="N292" s="183"/>
      <c r="O292" s="183"/>
      <c r="P292" s="184"/>
      <c r="Q292" s="169">
        <v>32</v>
      </c>
      <c r="R292" s="169" t="str">
        <f>C292</f>
        <v>SC07736</v>
      </c>
      <c r="S292" s="169" t="str">
        <f>D292</f>
        <v>DO07725</v>
      </c>
      <c r="T292" s="268" t="s">
        <v>1190</v>
      </c>
      <c r="U292" s="169">
        <v>4014633</v>
      </c>
      <c r="V292" s="322">
        <v>2652</v>
      </c>
      <c r="W292" s="174">
        <v>4954429</v>
      </c>
      <c r="X292" s="173" t="s">
        <v>1670</v>
      </c>
      <c r="Y292" s="90" t="s">
        <v>1672</v>
      </c>
      <c r="Z292" s="46">
        <v>4014634</v>
      </c>
      <c r="AA292" s="173" t="s">
        <v>1671</v>
      </c>
      <c r="AB292" s="90" t="s">
        <v>1673</v>
      </c>
      <c r="AC292" s="46">
        <v>4014635</v>
      </c>
      <c r="AD292" s="322">
        <v>4225</v>
      </c>
      <c r="AE292" s="175" t="s">
        <v>583</v>
      </c>
      <c r="AF292" s="46" t="s">
        <v>330</v>
      </c>
      <c r="AG292" s="169" t="s">
        <v>413</v>
      </c>
      <c r="AH292" s="47"/>
    </row>
    <row r="293" spans="1:253" s="193" customFormat="1" ht="51" customHeight="1">
      <c r="A293" s="297" t="s">
        <v>76</v>
      </c>
      <c r="B293" s="173" t="s">
        <v>1177</v>
      </c>
      <c r="C293" s="169" t="s">
        <v>528</v>
      </c>
      <c r="D293" s="169" t="s">
        <v>529</v>
      </c>
      <c r="E293" s="318" t="s">
        <v>2327</v>
      </c>
      <c r="F293" s="45" t="s">
        <v>1592</v>
      </c>
      <c r="G293" s="45" t="s">
        <v>530</v>
      </c>
      <c r="H293" s="194" t="s">
        <v>531</v>
      </c>
      <c r="I293" s="45" t="s">
        <v>532</v>
      </c>
      <c r="J293" s="45" t="s">
        <v>0</v>
      </c>
      <c r="K293" s="45" t="s">
        <v>347</v>
      </c>
      <c r="L293" s="173" t="s">
        <v>275</v>
      </c>
      <c r="M293" s="169"/>
      <c r="N293" s="169"/>
      <c r="O293" s="169"/>
      <c r="P293" s="169"/>
      <c r="Q293" s="46">
        <v>40</v>
      </c>
      <c r="R293" s="169" t="s">
        <v>528</v>
      </c>
      <c r="S293" s="169" t="s">
        <v>529</v>
      </c>
      <c r="T293" s="45" t="s">
        <v>2421</v>
      </c>
      <c r="U293" s="169" t="s">
        <v>376</v>
      </c>
      <c r="V293" s="322">
        <v>2690</v>
      </c>
      <c r="W293" s="45">
        <v>4954429</v>
      </c>
      <c r="X293" s="45" t="s">
        <v>533</v>
      </c>
      <c r="Y293" s="45" t="s">
        <v>2182</v>
      </c>
      <c r="Z293" s="169" t="s">
        <v>376</v>
      </c>
      <c r="AA293" s="45" t="s">
        <v>534</v>
      </c>
      <c r="AB293" s="45" t="s">
        <v>603</v>
      </c>
      <c r="AC293" s="169"/>
      <c r="AD293" s="322">
        <v>4352</v>
      </c>
      <c r="AE293" s="45">
        <v>4954431</v>
      </c>
      <c r="AF293" s="169" t="s">
        <v>330</v>
      </c>
      <c r="AG293" s="169" t="s">
        <v>413</v>
      </c>
      <c r="AH293" s="47"/>
    </row>
    <row r="294" spans="1:253" s="193" customFormat="1" ht="51" customHeight="1">
      <c r="A294" s="40" t="s">
        <v>76</v>
      </c>
      <c r="B294" s="40" t="s">
        <v>1177</v>
      </c>
      <c r="C294" s="40" t="s">
        <v>303</v>
      </c>
      <c r="D294" s="40" t="s">
        <v>302</v>
      </c>
      <c r="E294" s="40" t="s">
        <v>301</v>
      </c>
      <c r="F294" s="40" t="s">
        <v>1593</v>
      </c>
      <c r="G294" s="40"/>
      <c r="H294" s="371" t="s">
        <v>291</v>
      </c>
      <c r="I294" s="40"/>
      <c r="J294" s="40" t="s">
        <v>0</v>
      </c>
      <c r="K294" s="40"/>
      <c r="L294" s="35" t="s">
        <v>275</v>
      </c>
      <c r="M294" s="35"/>
      <c r="N294" s="35"/>
      <c r="O294" s="35"/>
      <c r="P294" s="35"/>
      <c r="Q294" s="35">
        <v>34</v>
      </c>
      <c r="R294" s="35" t="str">
        <f t="shared" ref="R294:S298" si="50">C294</f>
        <v>SC07879</v>
      </c>
      <c r="S294" s="35" t="str">
        <f t="shared" si="50"/>
        <v>DO07101</v>
      </c>
      <c r="T294" s="226" t="s">
        <v>2325</v>
      </c>
      <c r="U294" s="35" t="s">
        <v>294</v>
      </c>
      <c r="V294" s="333">
        <v>2690</v>
      </c>
      <c r="W294" s="91">
        <v>4954429</v>
      </c>
      <c r="X294" s="40" t="str">
        <f>LEFT(F294,7)</f>
        <v>PJ07896</v>
      </c>
      <c r="Y294" s="91" t="s">
        <v>2379</v>
      </c>
      <c r="Z294" s="35" t="s">
        <v>294</v>
      </c>
      <c r="AA294" s="40" t="str">
        <f>IF(AG294="VEE", RIGHT(F294,7),"n/a")</f>
        <v>PJ07897</v>
      </c>
      <c r="AB294" s="91" t="s">
        <v>584</v>
      </c>
      <c r="AC294" s="35" t="s">
        <v>294</v>
      </c>
      <c r="AD294" s="333">
        <v>4352</v>
      </c>
      <c r="AE294" s="91">
        <v>4954431</v>
      </c>
      <c r="AF294" s="35" t="s">
        <v>330</v>
      </c>
      <c r="AG294" s="35" t="s">
        <v>413</v>
      </c>
      <c r="AH294" s="36" t="s">
        <v>292</v>
      </c>
    </row>
    <row r="295" spans="1:253" s="193" customFormat="1" ht="38.25" customHeight="1">
      <c r="A295" s="40" t="s">
        <v>76</v>
      </c>
      <c r="B295" s="40" t="s">
        <v>1177</v>
      </c>
      <c r="C295" s="40" t="s">
        <v>304</v>
      </c>
      <c r="D295" s="40" t="s">
        <v>305</v>
      </c>
      <c r="E295" s="40" t="s">
        <v>306</v>
      </c>
      <c r="F295" s="40" t="s">
        <v>1594</v>
      </c>
      <c r="G295" s="40"/>
      <c r="H295" s="24" t="s">
        <v>293</v>
      </c>
      <c r="I295" s="40"/>
      <c r="J295" s="40" t="s">
        <v>0</v>
      </c>
      <c r="K295" s="40"/>
      <c r="L295" s="35" t="s">
        <v>275</v>
      </c>
      <c r="M295" s="35"/>
      <c r="N295" s="35"/>
      <c r="O295" s="35"/>
      <c r="P295" s="35"/>
      <c r="Q295" s="35">
        <v>35</v>
      </c>
      <c r="R295" s="35" t="str">
        <f t="shared" si="50"/>
        <v>SC07880</v>
      </c>
      <c r="S295" s="35" t="str">
        <f t="shared" si="50"/>
        <v>DO07102</v>
      </c>
      <c r="T295" s="226" t="s">
        <v>2326</v>
      </c>
      <c r="U295" s="35" t="s">
        <v>294</v>
      </c>
      <c r="V295" s="333">
        <v>2690</v>
      </c>
      <c r="W295" s="91">
        <v>4954429</v>
      </c>
      <c r="X295" s="40" t="str">
        <f>LEFT(F295,7)</f>
        <v>PJ07900</v>
      </c>
      <c r="Y295" s="91" t="s">
        <v>2380</v>
      </c>
      <c r="Z295" s="35" t="s">
        <v>294</v>
      </c>
      <c r="AA295" s="40" t="str">
        <f>IF(AG295="VEE", RIGHT(F295,7),"n/a")</f>
        <v>PJ07901</v>
      </c>
      <c r="AB295" s="91" t="s">
        <v>586</v>
      </c>
      <c r="AC295" s="35" t="s">
        <v>294</v>
      </c>
      <c r="AD295" s="333">
        <v>4352</v>
      </c>
      <c r="AE295" s="91">
        <v>4954431</v>
      </c>
      <c r="AF295" s="35" t="s">
        <v>330</v>
      </c>
      <c r="AG295" s="35" t="s">
        <v>413</v>
      </c>
      <c r="AH295" s="36" t="s">
        <v>292</v>
      </c>
    </row>
    <row r="296" spans="1:253" s="193" customFormat="1" ht="38.25" customHeight="1">
      <c r="A296" s="40" t="s">
        <v>76</v>
      </c>
      <c r="B296" s="40" t="s">
        <v>1177</v>
      </c>
      <c r="C296" s="40" t="s">
        <v>294</v>
      </c>
      <c r="D296" s="40" t="s">
        <v>294</v>
      </c>
      <c r="E296" s="40" t="s">
        <v>301</v>
      </c>
      <c r="F296" s="40" t="s">
        <v>1595</v>
      </c>
      <c r="G296" s="40"/>
      <c r="H296" s="24" t="s">
        <v>295</v>
      </c>
      <c r="I296" s="40"/>
      <c r="J296" s="40" t="s">
        <v>296</v>
      </c>
      <c r="K296" s="40"/>
      <c r="L296" s="40" t="s">
        <v>277</v>
      </c>
      <c r="M296" s="35"/>
      <c r="N296" s="35"/>
      <c r="O296" s="35"/>
      <c r="P296" s="35"/>
      <c r="Q296" s="35">
        <v>34</v>
      </c>
      <c r="R296" s="35" t="str">
        <f t="shared" si="50"/>
        <v>-</v>
      </c>
      <c r="S296" s="35" t="str">
        <f t="shared" si="50"/>
        <v>-</v>
      </c>
      <c r="T296" s="35"/>
      <c r="U296" s="35" t="s">
        <v>294</v>
      </c>
      <c r="V296" s="333">
        <v>2690</v>
      </c>
      <c r="W296" s="40"/>
      <c r="X296" s="40" t="str">
        <f>LEFT(F296,7)</f>
        <v>PJ07898</v>
      </c>
      <c r="Y296" s="91" t="s">
        <v>2357</v>
      </c>
      <c r="Z296" s="35">
        <v>2896284</v>
      </c>
      <c r="AA296" s="40" t="str">
        <f>IF(AG296="VEE", RIGHT(F296,7),"n/a")</f>
        <v>PJ07899</v>
      </c>
      <c r="AB296" s="91" t="s">
        <v>585</v>
      </c>
      <c r="AC296" s="35">
        <v>2896285</v>
      </c>
      <c r="AD296" s="333">
        <v>4352</v>
      </c>
      <c r="AE296" s="91">
        <v>4954431</v>
      </c>
      <c r="AF296" s="35" t="s">
        <v>330</v>
      </c>
      <c r="AG296" s="35" t="s">
        <v>413</v>
      </c>
      <c r="AH296" s="36" t="s">
        <v>297</v>
      </c>
    </row>
    <row r="297" spans="1:253" ht="38.25">
      <c r="A297" s="40" t="s">
        <v>76</v>
      </c>
      <c r="B297" s="40" t="s">
        <v>1177</v>
      </c>
      <c r="C297" s="40" t="s">
        <v>294</v>
      </c>
      <c r="D297" s="40" t="s">
        <v>294</v>
      </c>
      <c r="E297" s="40" t="s">
        <v>306</v>
      </c>
      <c r="F297" s="40" t="s">
        <v>1596</v>
      </c>
      <c r="G297" s="40"/>
      <c r="H297" s="24" t="s">
        <v>298</v>
      </c>
      <c r="I297" s="40"/>
      <c r="J297" s="40" t="s">
        <v>296</v>
      </c>
      <c r="K297" s="40"/>
      <c r="L297" s="40" t="s">
        <v>277</v>
      </c>
      <c r="M297" s="35"/>
      <c r="N297" s="35"/>
      <c r="O297" s="35"/>
      <c r="P297" s="35"/>
      <c r="Q297" s="35">
        <v>35</v>
      </c>
      <c r="R297" s="35" t="str">
        <f t="shared" si="50"/>
        <v>-</v>
      </c>
      <c r="S297" s="35" t="str">
        <f t="shared" si="50"/>
        <v>-</v>
      </c>
      <c r="T297" s="35"/>
      <c r="U297" s="35" t="s">
        <v>294</v>
      </c>
      <c r="V297" s="333">
        <v>2690</v>
      </c>
      <c r="W297" s="40"/>
      <c r="X297" s="40" t="str">
        <f>LEFT(F297,7)</f>
        <v>PJ07902</v>
      </c>
      <c r="Y297" s="91" t="s">
        <v>2358</v>
      </c>
      <c r="Z297" s="35">
        <v>2896286</v>
      </c>
      <c r="AA297" s="40" t="str">
        <f>IF(AG297="VEE", RIGHT(F297,7),"n/a")</f>
        <v>PJ07903</v>
      </c>
      <c r="AB297" s="91" t="s">
        <v>587</v>
      </c>
      <c r="AC297" s="35">
        <v>2896287</v>
      </c>
      <c r="AD297" s="333">
        <v>4352</v>
      </c>
      <c r="AE297" s="91">
        <v>4954431</v>
      </c>
      <c r="AF297" s="35" t="s">
        <v>330</v>
      </c>
      <c r="AG297" s="35" t="s">
        <v>413</v>
      </c>
      <c r="AH297" s="36" t="s">
        <v>297</v>
      </c>
    </row>
    <row r="298" spans="1:253" ht="25.5">
      <c r="A298" s="264" t="s">
        <v>1800</v>
      </c>
      <c r="B298" s="264" t="s">
        <v>1801</v>
      </c>
      <c r="C298" s="264" t="s">
        <v>1802</v>
      </c>
      <c r="D298" s="264" t="s">
        <v>1803</v>
      </c>
      <c r="E298" s="264" t="s">
        <v>1804</v>
      </c>
      <c r="F298" s="264" t="s">
        <v>1805</v>
      </c>
      <c r="G298" s="264"/>
      <c r="H298" s="265" t="s">
        <v>2065</v>
      </c>
      <c r="I298" s="264"/>
      <c r="J298" s="334" t="s">
        <v>2415</v>
      </c>
      <c r="K298" s="264"/>
      <c r="L298" s="264" t="s">
        <v>275</v>
      </c>
      <c r="M298" s="264"/>
      <c r="N298" s="264"/>
      <c r="O298" s="264"/>
      <c r="P298" s="264"/>
      <c r="Q298" s="264" t="s">
        <v>294</v>
      </c>
      <c r="R298" s="264" t="str">
        <f t="shared" si="50"/>
        <v>SC60506</v>
      </c>
      <c r="S298" s="264" t="str">
        <f t="shared" si="50"/>
        <v>DO06651</v>
      </c>
      <c r="T298" s="264" t="s">
        <v>1806</v>
      </c>
      <c r="U298" s="264" t="s">
        <v>294</v>
      </c>
      <c r="V298" s="334">
        <v>2661</v>
      </c>
      <c r="W298" s="264">
        <v>3426369</v>
      </c>
      <c r="X298" s="264" t="str">
        <f>LEFT(F298,7)</f>
        <v>PJ06936</v>
      </c>
      <c r="Y298" s="264" t="s">
        <v>1807</v>
      </c>
      <c r="Z298" s="264" t="s">
        <v>294</v>
      </c>
      <c r="AA298" s="264" t="str">
        <f>IF(AG298="VEE", RIGHT(F298,7),"n/a")</f>
        <v>PJ06937</v>
      </c>
      <c r="AB298" s="264" t="s">
        <v>1808</v>
      </c>
      <c r="AC298" s="264" t="s">
        <v>294</v>
      </c>
      <c r="AD298" s="334">
        <v>4312</v>
      </c>
      <c r="AE298" s="264">
        <v>3607754</v>
      </c>
      <c r="AF298" s="264"/>
      <c r="AG298" s="264" t="s">
        <v>413</v>
      </c>
      <c r="AH298" s="264"/>
    </row>
    <row r="300" spans="1:253">
      <c r="H300" s="13"/>
      <c r="L300" s="1"/>
      <c r="V300" s="13"/>
      <c r="Y300" s="1"/>
      <c r="Z300" s="13"/>
      <c r="AB300" s="1"/>
      <c r="AD300" s="13"/>
      <c r="AE300" s="1"/>
      <c r="AG300" s="20"/>
      <c r="AH300" s="1"/>
    </row>
    <row r="304" spans="1:253" ht="15">
      <c r="A304" s="270"/>
      <c r="B304" s="270"/>
      <c r="C304" s="276"/>
      <c r="D304" s="270"/>
      <c r="E304" s="270"/>
      <c r="F304" s="295"/>
      <c r="G304" s="270">
        <v>4998696</v>
      </c>
      <c r="H304" s="270"/>
      <c r="I304" s="270"/>
      <c r="J304" s="295"/>
      <c r="K304" s="270">
        <v>4998700</v>
      </c>
      <c r="L304" s="270"/>
      <c r="M304" s="270">
        <v>4998702</v>
      </c>
      <c r="N304" s="270">
        <v>4094916</v>
      </c>
      <c r="O304" s="270">
        <v>3607995</v>
      </c>
      <c r="P304" s="270">
        <v>4009379</v>
      </c>
      <c r="Q304" s="270"/>
      <c r="R304" s="270"/>
      <c r="S304" s="270"/>
      <c r="T304" s="270"/>
      <c r="U304" s="270"/>
      <c r="V304" s="335"/>
    </row>
    <row r="305" spans="1:22" ht="15">
      <c r="A305" s="270"/>
      <c r="B305" s="270"/>
      <c r="C305" s="276"/>
      <c r="D305" s="270"/>
      <c r="E305" s="270"/>
      <c r="F305" s="295"/>
      <c r="G305" s="270">
        <v>4998696</v>
      </c>
      <c r="H305" s="270"/>
      <c r="I305" s="270"/>
      <c r="J305" s="295"/>
      <c r="K305" s="270">
        <v>4998700</v>
      </c>
      <c r="L305" s="270"/>
      <c r="M305" s="270">
        <v>4998702</v>
      </c>
      <c r="N305" s="270">
        <v>4094916</v>
      </c>
      <c r="O305" s="270">
        <v>3607995</v>
      </c>
      <c r="P305" s="270">
        <v>4009379</v>
      </c>
      <c r="Q305" s="270"/>
      <c r="R305" s="270"/>
      <c r="S305" s="270"/>
      <c r="T305" s="270"/>
      <c r="U305" s="270"/>
      <c r="V305" s="335"/>
    </row>
  </sheetData>
  <autoFilter ref="A2:AH302">
    <filterColumn colId="0"/>
    <filterColumn colId="7"/>
    <filterColumn colId="9"/>
    <filterColumn colId="24"/>
  </autoFilter>
  <mergeCells count="30">
    <mergeCell ref="N143:N159"/>
    <mergeCell ref="N160:N176"/>
    <mergeCell ref="O160:O176"/>
    <mergeCell ref="O143:O159"/>
    <mergeCell ref="O61:O65"/>
    <mergeCell ref="M276:M286"/>
    <mergeCell ref="N276:N286"/>
    <mergeCell ref="O276:O286"/>
    <mergeCell ref="M51:M55"/>
    <mergeCell ref="N51:N55"/>
    <mergeCell ref="O51:O55"/>
    <mergeCell ref="M160:M176"/>
    <mergeCell ref="M61:M65"/>
    <mergeCell ref="N61:N65"/>
    <mergeCell ref="M126:M142"/>
    <mergeCell ref="N126:N142"/>
    <mergeCell ref="O126:O142"/>
    <mergeCell ref="M56:M60"/>
    <mergeCell ref="N56:N60"/>
    <mergeCell ref="O56:O60"/>
    <mergeCell ref="M143:M159"/>
    <mergeCell ref="X1:AE1"/>
    <mergeCell ref="P276:P286"/>
    <mergeCell ref="P126:P142"/>
    <mergeCell ref="P51:P55"/>
    <mergeCell ref="P160:P176"/>
    <mergeCell ref="P143:P159"/>
    <mergeCell ref="R1:W1"/>
    <mergeCell ref="P56:P60"/>
    <mergeCell ref="P61:P65"/>
  </mergeCells>
  <phoneticPr fontId="21" type="noConversion"/>
  <pageMargins left="0.75" right="0.75" top="1" bottom="1" header="0.5" footer="0.5"/>
  <pageSetup orientation="portrait"/>
  <headerFooter alignWithMargins="0"/>
  <legacyDrawing r:id="rId1"/>
</worksheet>
</file>

<file path=xl/worksheets/sheet2.xml><?xml version="1.0" encoding="utf-8"?>
<worksheet xmlns="http://schemas.openxmlformats.org/spreadsheetml/2006/main" xmlns:r="http://schemas.openxmlformats.org/officeDocument/2006/relationships">
  <sheetPr codeName="Sheet6"/>
  <dimension ref="A1:S146"/>
  <sheetViews>
    <sheetView workbookViewId="0">
      <pane ySplit="2" topLeftCell="A135" activePane="bottomLeft" state="frozen"/>
      <selection pane="bottomLeft" activeCell="E146" sqref="E146"/>
    </sheetView>
  </sheetViews>
  <sheetFormatPr defaultRowHeight="12.75"/>
  <cols>
    <col min="1" max="1" width="11.42578125" style="96" customWidth="1"/>
    <col min="2" max="2" width="14.85546875" customWidth="1"/>
    <col min="3" max="3" width="11.85546875" customWidth="1"/>
    <col min="4" max="4" width="11.42578125" customWidth="1"/>
    <col min="5" max="5" width="11.140625" customWidth="1"/>
    <col min="6" max="6" width="51.5703125" customWidth="1"/>
    <col min="7" max="7" width="16.5703125" customWidth="1"/>
    <col min="8" max="8" width="13.42578125" customWidth="1"/>
    <col min="9" max="9" width="11.140625" customWidth="1"/>
    <col min="10" max="10" width="8.42578125" customWidth="1"/>
    <col min="11" max="11" width="10.5703125" customWidth="1"/>
    <col min="12" max="12" width="10.28515625" customWidth="1"/>
    <col min="13" max="13" width="9.85546875" customWidth="1"/>
    <col min="14" max="14" width="12.28515625" customWidth="1"/>
    <col min="15" max="15" width="12.42578125" customWidth="1"/>
    <col min="16" max="16" width="13" customWidth="1"/>
    <col min="17" max="17" width="14.7109375" customWidth="1"/>
    <col min="18" max="18" width="13.28515625" customWidth="1"/>
    <col min="19" max="19" width="30.85546875" customWidth="1"/>
  </cols>
  <sheetData>
    <row r="1" spans="1:19">
      <c r="K1" s="364" t="s">
        <v>908</v>
      </c>
      <c r="L1" s="365"/>
      <c r="M1" s="365"/>
      <c r="N1" s="365"/>
      <c r="O1" s="365"/>
      <c r="P1" s="365"/>
    </row>
    <row r="2" spans="1:19" s="94" customFormat="1" ht="71.25" customHeight="1">
      <c r="A2" s="12" t="s">
        <v>13</v>
      </c>
      <c r="B2" s="12" t="s">
        <v>408</v>
      </c>
      <c r="C2" s="9" t="s">
        <v>36</v>
      </c>
      <c r="D2" s="9" t="s">
        <v>37</v>
      </c>
      <c r="E2" s="9" t="s">
        <v>38</v>
      </c>
      <c r="F2" s="9" t="s">
        <v>39</v>
      </c>
      <c r="G2" s="9" t="s">
        <v>1080</v>
      </c>
      <c r="H2" s="9" t="s">
        <v>267</v>
      </c>
      <c r="I2" s="9" t="s">
        <v>274</v>
      </c>
      <c r="J2" s="9" t="s">
        <v>608</v>
      </c>
      <c r="K2" s="39" t="s">
        <v>907</v>
      </c>
      <c r="L2" s="39" t="s">
        <v>37</v>
      </c>
      <c r="M2" s="39" t="s">
        <v>331</v>
      </c>
      <c r="N2" s="39" t="s">
        <v>334</v>
      </c>
      <c r="O2" s="39" t="s">
        <v>341</v>
      </c>
      <c r="P2" s="39" t="s">
        <v>342</v>
      </c>
      <c r="Q2" s="9" t="s">
        <v>329</v>
      </c>
      <c r="R2" s="9" t="s">
        <v>412</v>
      </c>
      <c r="S2" s="9" t="s">
        <v>269</v>
      </c>
    </row>
    <row r="3" spans="1:19" ht="39">
      <c r="A3" s="126" t="s">
        <v>1069</v>
      </c>
      <c r="B3" s="127" t="s">
        <v>1070</v>
      </c>
      <c r="C3" s="128" t="s">
        <v>659</v>
      </c>
      <c r="D3" s="128" t="s">
        <v>790</v>
      </c>
      <c r="E3" s="128" t="s">
        <v>893</v>
      </c>
      <c r="F3" s="129" t="s">
        <v>1111</v>
      </c>
      <c r="G3" s="130" t="s">
        <v>1134</v>
      </c>
      <c r="H3" s="131"/>
      <c r="I3" s="132" t="s">
        <v>275</v>
      </c>
      <c r="J3" s="132">
        <v>1</v>
      </c>
      <c r="K3" s="128" t="s">
        <v>659</v>
      </c>
      <c r="L3" s="128" t="s">
        <v>790</v>
      </c>
      <c r="M3" s="128" t="s">
        <v>972</v>
      </c>
      <c r="N3" s="132"/>
      <c r="O3" s="132" t="s">
        <v>1060</v>
      </c>
      <c r="P3" s="132" t="s">
        <v>583</v>
      </c>
      <c r="Q3" s="130" t="s">
        <v>1081</v>
      </c>
      <c r="R3" s="130" t="s">
        <v>414</v>
      </c>
      <c r="S3" s="126" t="s">
        <v>1136</v>
      </c>
    </row>
    <row r="4" spans="1:19" ht="38.25" customHeight="1">
      <c r="A4" s="126" t="s">
        <v>1069</v>
      </c>
      <c r="B4" s="127" t="s">
        <v>1070</v>
      </c>
      <c r="C4" s="128" t="s">
        <v>660</v>
      </c>
      <c r="D4" s="128" t="s">
        <v>791</v>
      </c>
      <c r="E4" s="128" t="s">
        <v>893</v>
      </c>
      <c r="F4" s="129" t="s">
        <v>1112</v>
      </c>
      <c r="G4" s="130" t="s">
        <v>1134</v>
      </c>
      <c r="H4" s="131"/>
      <c r="I4" s="132" t="s">
        <v>275</v>
      </c>
      <c r="J4" s="132">
        <v>1</v>
      </c>
      <c r="K4" s="128" t="s">
        <v>660</v>
      </c>
      <c r="L4" s="128" t="s">
        <v>791</v>
      </c>
      <c r="M4" s="128" t="s">
        <v>973</v>
      </c>
      <c r="N4" s="132"/>
      <c r="O4" s="132" t="s">
        <v>1060</v>
      </c>
      <c r="P4" s="132" t="s">
        <v>583</v>
      </c>
      <c r="Q4" s="130" t="s">
        <v>1081</v>
      </c>
      <c r="R4" s="130" t="s">
        <v>414</v>
      </c>
      <c r="S4" s="126" t="s">
        <v>1136</v>
      </c>
    </row>
    <row r="5" spans="1:19" ht="39">
      <c r="A5" s="126" t="s">
        <v>1069</v>
      </c>
      <c r="B5" s="127" t="s">
        <v>1070</v>
      </c>
      <c r="C5" s="128" t="s">
        <v>661</v>
      </c>
      <c r="D5" s="128" t="s">
        <v>792</v>
      </c>
      <c r="E5" s="128" t="s">
        <v>894</v>
      </c>
      <c r="F5" s="129" t="s">
        <v>1113</v>
      </c>
      <c r="G5" s="130" t="s">
        <v>1134</v>
      </c>
      <c r="H5" s="131"/>
      <c r="I5" s="132" t="s">
        <v>277</v>
      </c>
      <c r="J5" s="132">
        <v>2</v>
      </c>
      <c r="K5" s="128" t="s">
        <v>661</v>
      </c>
      <c r="L5" s="128" t="s">
        <v>792</v>
      </c>
      <c r="M5" s="128" t="s">
        <v>974</v>
      </c>
      <c r="N5" s="132">
        <v>2878567</v>
      </c>
      <c r="O5" s="132">
        <v>4850</v>
      </c>
      <c r="P5" s="132" t="s">
        <v>583</v>
      </c>
      <c r="Q5" s="130" t="s">
        <v>1081</v>
      </c>
      <c r="R5" s="130" t="s">
        <v>414</v>
      </c>
      <c r="S5" s="126" t="s">
        <v>1136</v>
      </c>
    </row>
    <row r="6" spans="1:19" s="95" customFormat="1" ht="38.25" customHeight="1">
      <c r="A6" s="126" t="s">
        <v>1069</v>
      </c>
      <c r="B6" s="127" t="s">
        <v>1070</v>
      </c>
      <c r="C6" s="128" t="s">
        <v>662</v>
      </c>
      <c r="D6" s="128" t="s">
        <v>793</v>
      </c>
      <c r="E6" s="128" t="s">
        <v>894</v>
      </c>
      <c r="F6" s="129" t="s">
        <v>1114</v>
      </c>
      <c r="G6" s="130" t="s">
        <v>1134</v>
      </c>
      <c r="H6" s="131"/>
      <c r="I6" s="132" t="s">
        <v>277</v>
      </c>
      <c r="J6" s="132">
        <v>2</v>
      </c>
      <c r="K6" s="128" t="s">
        <v>662</v>
      </c>
      <c r="L6" s="128" t="s">
        <v>793</v>
      </c>
      <c r="M6" s="128" t="s">
        <v>975</v>
      </c>
      <c r="N6" s="132">
        <v>2878568</v>
      </c>
      <c r="O6" s="132">
        <v>4850</v>
      </c>
      <c r="P6" s="132" t="s">
        <v>583</v>
      </c>
      <c r="Q6" s="130" t="s">
        <v>1081</v>
      </c>
      <c r="R6" s="130" t="s">
        <v>414</v>
      </c>
      <c r="S6" s="126" t="s">
        <v>1136</v>
      </c>
    </row>
    <row r="7" spans="1:19" s="95" customFormat="1" ht="38.25" customHeight="1">
      <c r="A7" s="126" t="s">
        <v>1069</v>
      </c>
      <c r="B7" s="127" t="s">
        <v>1070</v>
      </c>
      <c r="C7" s="128" t="s">
        <v>663</v>
      </c>
      <c r="D7" s="128" t="s">
        <v>794</v>
      </c>
      <c r="E7" s="128" t="s">
        <v>895</v>
      </c>
      <c r="F7" s="129" t="s">
        <v>1115</v>
      </c>
      <c r="G7" s="130" t="s">
        <v>1134</v>
      </c>
      <c r="H7" s="131"/>
      <c r="I7" s="132" t="s">
        <v>275</v>
      </c>
      <c r="J7" s="132">
        <v>3</v>
      </c>
      <c r="K7" s="128" t="s">
        <v>663</v>
      </c>
      <c r="L7" s="128" t="s">
        <v>794</v>
      </c>
      <c r="M7" s="128" t="s">
        <v>976</v>
      </c>
      <c r="N7" s="132"/>
      <c r="O7" s="132" t="s">
        <v>1060</v>
      </c>
      <c r="P7" s="132" t="s">
        <v>583</v>
      </c>
      <c r="Q7" s="130" t="s">
        <v>1081</v>
      </c>
      <c r="R7" s="130" t="s">
        <v>414</v>
      </c>
      <c r="S7" s="126" t="s">
        <v>1136</v>
      </c>
    </row>
    <row r="8" spans="1:19" ht="38.25" customHeight="1">
      <c r="A8" s="126" t="s">
        <v>1069</v>
      </c>
      <c r="B8" s="127" t="s">
        <v>1070</v>
      </c>
      <c r="C8" s="128" t="s">
        <v>664</v>
      </c>
      <c r="D8" s="128" t="s">
        <v>795</v>
      </c>
      <c r="E8" s="128" t="s">
        <v>895</v>
      </c>
      <c r="F8" s="129" t="s">
        <v>1116</v>
      </c>
      <c r="G8" s="130" t="s">
        <v>1134</v>
      </c>
      <c r="H8" s="131"/>
      <c r="I8" s="132" t="s">
        <v>275</v>
      </c>
      <c r="J8" s="132">
        <v>3</v>
      </c>
      <c r="K8" s="128" t="s">
        <v>664</v>
      </c>
      <c r="L8" s="128" t="s">
        <v>795</v>
      </c>
      <c r="M8" s="128" t="s">
        <v>977</v>
      </c>
      <c r="N8" s="132"/>
      <c r="O8" s="132" t="s">
        <v>1060</v>
      </c>
      <c r="P8" s="132" t="s">
        <v>583</v>
      </c>
      <c r="Q8" s="130" t="s">
        <v>1081</v>
      </c>
      <c r="R8" s="130" t="s">
        <v>414</v>
      </c>
      <c r="S8" s="126" t="s">
        <v>1136</v>
      </c>
    </row>
    <row r="9" spans="1:19" ht="39">
      <c r="A9" s="126" t="s">
        <v>1069</v>
      </c>
      <c r="B9" s="127" t="s">
        <v>1070</v>
      </c>
      <c r="C9" s="128" t="s">
        <v>680</v>
      </c>
      <c r="D9" s="128" t="s">
        <v>811</v>
      </c>
      <c r="E9" s="128" t="s">
        <v>893</v>
      </c>
      <c r="F9" s="129" t="s">
        <v>1111</v>
      </c>
      <c r="G9" s="130" t="s">
        <v>1134</v>
      </c>
      <c r="H9" s="131"/>
      <c r="I9" s="132" t="s">
        <v>275</v>
      </c>
      <c r="J9" s="132">
        <v>1</v>
      </c>
      <c r="K9" s="128" t="s">
        <v>680</v>
      </c>
      <c r="L9" s="128" t="s">
        <v>811</v>
      </c>
      <c r="M9" s="128" t="s">
        <v>993</v>
      </c>
      <c r="N9" s="132"/>
      <c r="O9" s="132" t="s">
        <v>1060</v>
      </c>
      <c r="P9" s="132" t="s">
        <v>583</v>
      </c>
      <c r="Q9" s="130" t="s">
        <v>1081</v>
      </c>
      <c r="R9" s="130" t="s">
        <v>414</v>
      </c>
      <c r="S9" s="126" t="s">
        <v>1135</v>
      </c>
    </row>
    <row r="10" spans="1:19" ht="39">
      <c r="A10" s="126" t="s">
        <v>1069</v>
      </c>
      <c r="B10" s="127" t="s">
        <v>1070</v>
      </c>
      <c r="C10" s="128" t="s">
        <v>681</v>
      </c>
      <c r="D10" s="128" t="s">
        <v>812</v>
      </c>
      <c r="E10" s="128" t="s">
        <v>893</v>
      </c>
      <c r="F10" s="129" t="s">
        <v>1112</v>
      </c>
      <c r="G10" s="130" t="s">
        <v>1134</v>
      </c>
      <c r="H10" s="131"/>
      <c r="I10" s="132" t="s">
        <v>275</v>
      </c>
      <c r="J10" s="132">
        <v>1</v>
      </c>
      <c r="K10" s="128" t="s">
        <v>681</v>
      </c>
      <c r="L10" s="128" t="s">
        <v>812</v>
      </c>
      <c r="M10" s="128" t="s">
        <v>994</v>
      </c>
      <c r="N10" s="132"/>
      <c r="O10" s="132" t="s">
        <v>1060</v>
      </c>
      <c r="P10" s="132" t="s">
        <v>583</v>
      </c>
      <c r="Q10" s="130" t="s">
        <v>1081</v>
      </c>
      <c r="R10" s="130" t="s">
        <v>414</v>
      </c>
      <c r="S10" s="126" t="s">
        <v>1135</v>
      </c>
    </row>
    <row r="11" spans="1:19" ht="38.25" customHeight="1">
      <c r="A11" s="126" t="s">
        <v>1069</v>
      </c>
      <c r="B11" s="127" t="s">
        <v>1070</v>
      </c>
      <c r="C11" s="128" t="s">
        <v>682</v>
      </c>
      <c r="D11" s="128" t="s">
        <v>813</v>
      </c>
      <c r="E11" s="128" t="s">
        <v>894</v>
      </c>
      <c r="F11" s="129" t="s">
        <v>1113</v>
      </c>
      <c r="G11" s="130" t="s">
        <v>1134</v>
      </c>
      <c r="H11" s="131"/>
      <c r="I11" s="132" t="s">
        <v>275</v>
      </c>
      <c r="J11" s="132">
        <v>2</v>
      </c>
      <c r="K11" s="128" t="s">
        <v>682</v>
      </c>
      <c r="L11" s="128" t="s">
        <v>813</v>
      </c>
      <c r="M11" s="128" t="s">
        <v>995</v>
      </c>
      <c r="N11" s="132"/>
      <c r="O11" s="132" t="s">
        <v>1060</v>
      </c>
      <c r="P11" s="132" t="s">
        <v>583</v>
      </c>
      <c r="Q11" s="130" t="s">
        <v>1081</v>
      </c>
      <c r="R11" s="130" t="s">
        <v>414</v>
      </c>
      <c r="S11" s="126" t="s">
        <v>1135</v>
      </c>
    </row>
    <row r="12" spans="1:19" ht="38.25" customHeight="1">
      <c r="A12" s="126" t="s">
        <v>1069</v>
      </c>
      <c r="B12" s="127" t="s">
        <v>1070</v>
      </c>
      <c r="C12" s="128" t="s">
        <v>683</v>
      </c>
      <c r="D12" s="128" t="s">
        <v>814</v>
      </c>
      <c r="E12" s="128" t="s">
        <v>894</v>
      </c>
      <c r="F12" s="129" t="s">
        <v>1114</v>
      </c>
      <c r="G12" s="130" t="s">
        <v>1134</v>
      </c>
      <c r="H12" s="131"/>
      <c r="I12" s="132" t="s">
        <v>275</v>
      </c>
      <c r="J12" s="132">
        <v>2</v>
      </c>
      <c r="K12" s="128" t="s">
        <v>683</v>
      </c>
      <c r="L12" s="128" t="s">
        <v>814</v>
      </c>
      <c r="M12" s="128" t="s">
        <v>996</v>
      </c>
      <c r="N12" s="132"/>
      <c r="O12" s="132" t="s">
        <v>1060</v>
      </c>
      <c r="P12" s="132" t="s">
        <v>583</v>
      </c>
      <c r="Q12" s="130" t="s">
        <v>1081</v>
      </c>
      <c r="R12" s="130" t="s">
        <v>414</v>
      </c>
      <c r="S12" s="126" t="s">
        <v>1135</v>
      </c>
    </row>
    <row r="13" spans="1:19" ht="38.25" customHeight="1">
      <c r="A13" s="126" t="s">
        <v>1069</v>
      </c>
      <c r="B13" s="127" t="s">
        <v>1070</v>
      </c>
      <c r="C13" s="128" t="s">
        <v>684</v>
      </c>
      <c r="D13" s="128" t="s">
        <v>815</v>
      </c>
      <c r="E13" s="128" t="s">
        <v>895</v>
      </c>
      <c r="F13" s="129" t="s">
        <v>1115</v>
      </c>
      <c r="G13" s="130" t="s">
        <v>1134</v>
      </c>
      <c r="H13" s="131"/>
      <c r="I13" s="132" t="s">
        <v>275</v>
      </c>
      <c r="J13" s="132">
        <v>3</v>
      </c>
      <c r="K13" s="128" t="s">
        <v>684</v>
      </c>
      <c r="L13" s="128" t="s">
        <v>815</v>
      </c>
      <c r="M13" s="128" t="s">
        <v>997</v>
      </c>
      <c r="N13" s="132"/>
      <c r="O13" s="132" t="s">
        <v>1060</v>
      </c>
      <c r="P13" s="132" t="s">
        <v>583</v>
      </c>
      <c r="Q13" s="130" t="s">
        <v>1081</v>
      </c>
      <c r="R13" s="130" t="s">
        <v>414</v>
      </c>
      <c r="S13" s="126" t="s">
        <v>1135</v>
      </c>
    </row>
    <row r="14" spans="1:19" ht="38.25" customHeight="1">
      <c r="A14" s="126" t="s">
        <v>1069</v>
      </c>
      <c r="B14" s="127" t="s">
        <v>1070</v>
      </c>
      <c r="C14" s="128" t="s">
        <v>685</v>
      </c>
      <c r="D14" s="128" t="s">
        <v>816</v>
      </c>
      <c r="E14" s="128" t="s">
        <v>895</v>
      </c>
      <c r="F14" s="129" t="s">
        <v>1116</v>
      </c>
      <c r="G14" s="130" t="s">
        <v>1134</v>
      </c>
      <c r="H14" s="131"/>
      <c r="I14" s="132" t="s">
        <v>275</v>
      </c>
      <c r="J14" s="132">
        <v>3</v>
      </c>
      <c r="K14" s="128" t="s">
        <v>685</v>
      </c>
      <c r="L14" s="128" t="s">
        <v>816</v>
      </c>
      <c r="M14" s="128" t="s">
        <v>998</v>
      </c>
      <c r="N14" s="132"/>
      <c r="O14" s="132" t="s">
        <v>1060</v>
      </c>
      <c r="P14" s="132" t="s">
        <v>583</v>
      </c>
      <c r="Q14" s="130" t="s">
        <v>1081</v>
      </c>
      <c r="R14" s="130" t="s">
        <v>414</v>
      </c>
      <c r="S14" s="126" t="s">
        <v>1135</v>
      </c>
    </row>
    <row r="15" spans="1:19" ht="38.25" customHeight="1">
      <c r="A15" s="126" t="s">
        <v>1069</v>
      </c>
      <c r="B15" s="127" t="s">
        <v>1070</v>
      </c>
      <c r="C15" s="128" t="s">
        <v>686</v>
      </c>
      <c r="D15" s="128" t="s">
        <v>817</v>
      </c>
      <c r="E15" s="128" t="s">
        <v>898</v>
      </c>
      <c r="F15" s="129" t="s">
        <v>1117</v>
      </c>
      <c r="G15" s="130" t="s">
        <v>1134</v>
      </c>
      <c r="H15" s="131"/>
      <c r="I15" s="132" t="s">
        <v>275</v>
      </c>
      <c r="J15" s="132">
        <v>4</v>
      </c>
      <c r="K15" s="128" t="s">
        <v>686</v>
      </c>
      <c r="L15" s="128" t="s">
        <v>817</v>
      </c>
      <c r="M15" s="128" t="s">
        <v>999</v>
      </c>
      <c r="N15" s="132"/>
      <c r="O15" s="132" t="s">
        <v>1060</v>
      </c>
      <c r="P15" s="132" t="s">
        <v>583</v>
      </c>
      <c r="Q15" s="130" t="s">
        <v>1081</v>
      </c>
      <c r="R15" s="130" t="s">
        <v>414</v>
      </c>
      <c r="S15" s="126" t="s">
        <v>1136</v>
      </c>
    </row>
    <row r="16" spans="1:19" ht="38.25" customHeight="1">
      <c r="A16" s="126" t="s">
        <v>1069</v>
      </c>
      <c r="B16" s="127" t="s">
        <v>1070</v>
      </c>
      <c r="C16" s="128" t="s">
        <v>687</v>
      </c>
      <c r="D16" s="128" t="s">
        <v>818</v>
      </c>
      <c r="E16" s="128" t="s">
        <v>898</v>
      </c>
      <c r="F16" s="129" t="s">
        <v>1118</v>
      </c>
      <c r="G16" s="130" t="s">
        <v>1134</v>
      </c>
      <c r="H16" s="131"/>
      <c r="I16" s="132" t="s">
        <v>275</v>
      </c>
      <c r="J16" s="132">
        <v>4</v>
      </c>
      <c r="K16" s="128" t="s">
        <v>687</v>
      </c>
      <c r="L16" s="128" t="s">
        <v>818</v>
      </c>
      <c r="M16" s="128" t="s">
        <v>1000</v>
      </c>
      <c r="N16" s="132"/>
      <c r="O16" s="132" t="s">
        <v>1060</v>
      </c>
      <c r="P16" s="132" t="s">
        <v>583</v>
      </c>
      <c r="Q16" s="130" t="s">
        <v>1081</v>
      </c>
      <c r="R16" s="130" t="s">
        <v>414</v>
      </c>
      <c r="S16" s="126" t="s">
        <v>1136</v>
      </c>
    </row>
    <row r="17" spans="1:19" ht="39">
      <c r="A17" s="126" t="s">
        <v>1069</v>
      </c>
      <c r="B17" s="127" t="s">
        <v>1070</v>
      </c>
      <c r="C17" s="128" t="s">
        <v>688</v>
      </c>
      <c r="D17" s="128" t="s">
        <v>819</v>
      </c>
      <c r="E17" s="128" t="s">
        <v>898</v>
      </c>
      <c r="F17" s="129" t="s">
        <v>1117</v>
      </c>
      <c r="G17" s="130" t="s">
        <v>1134</v>
      </c>
      <c r="H17" s="131"/>
      <c r="I17" s="132" t="s">
        <v>275</v>
      </c>
      <c r="J17" s="132">
        <v>4</v>
      </c>
      <c r="K17" s="128" t="s">
        <v>688</v>
      </c>
      <c r="L17" s="128" t="s">
        <v>819</v>
      </c>
      <c r="M17" s="128" t="s">
        <v>1001</v>
      </c>
      <c r="N17" s="132"/>
      <c r="O17" s="132" t="s">
        <v>1060</v>
      </c>
      <c r="P17" s="132" t="s">
        <v>583</v>
      </c>
      <c r="Q17" s="130" t="s">
        <v>1081</v>
      </c>
      <c r="R17" s="130" t="s">
        <v>414</v>
      </c>
      <c r="S17" s="126" t="s">
        <v>1135</v>
      </c>
    </row>
    <row r="18" spans="1:19" ht="39">
      <c r="A18" s="126" t="s">
        <v>1069</v>
      </c>
      <c r="B18" s="127" t="s">
        <v>1070</v>
      </c>
      <c r="C18" s="128" t="s">
        <v>689</v>
      </c>
      <c r="D18" s="128" t="s">
        <v>820</v>
      </c>
      <c r="E18" s="128" t="s">
        <v>898</v>
      </c>
      <c r="F18" s="129" t="s">
        <v>1118</v>
      </c>
      <c r="G18" s="130" t="s">
        <v>1134</v>
      </c>
      <c r="H18" s="131"/>
      <c r="I18" s="132" t="s">
        <v>275</v>
      </c>
      <c r="J18" s="132">
        <v>4</v>
      </c>
      <c r="K18" s="128" t="s">
        <v>689</v>
      </c>
      <c r="L18" s="128" t="s">
        <v>820</v>
      </c>
      <c r="M18" s="128" t="s">
        <v>1002</v>
      </c>
      <c r="N18" s="132"/>
      <c r="O18" s="132" t="s">
        <v>1060</v>
      </c>
      <c r="P18" s="132" t="s">
        <v>583</v>
      </c>
      <c r="Q18" s="130" t="s">
        <v>1081</v>
      </c>
      <c r="R18" s="130" t="s">
        <v>414</v>
      </c>
      <c r="S18" s="126" t="s">
        <v>1135</v>
      </c>
    </row>
    <row r="19" spans="1:19" ht="39">
      <c r="A19" s="126" t="s">
        <v>1069</v>
      </c>
      <c r="B19" s="127" t="s">
        <v>1070</v>
      </c>
      <c r="C19" s="128" t="s">
        <v>690</v>
      </c>
      <c r="D19" s="128" t="s">
        <v>821</v>
      </c>
      <c r="E19" s="128" t="s">
        <v>899</v>
      </c>
      <c r="F19" s="129" t="s">
        <v>1119</v>
      </c>
      <c r="G19" s="130" t="s">
        <v>1134</v>
      </c>
      <c r="H19" s="131"/>
      <c r="I19" s="132" t="s">
        <v>275</v>
      </c>
      <c r="J19" s="132">
        <v>5</v>
      </c>
      <c r="K19" s="128" t="s">
        <v>690</v>
      </c>
      <c r="L19" s="128" t="s">
        <v>821</v>
      </c>
      <c r="M19" s="128" t="s">
        <v>1003</v>
      </c>
      <c r="N19" s="132"/>
      <c r="O19" s="132" t="s">
        <v>1060</v>
      </c>
      <c r="P19" s="132" t="s">
        <v>583</v>
      </c>
      <c r="Q19" s="130" t="s">
        <v>1081</v>
      </c>
      <c r="R19" s="130" t="s">
        <v>414</v>
      </c>
      <c r="S19" s="126" t="s">
        <v>1136</v>
      </c>
    </row>
    <row r="20" spans="1:19" ht="39">
      <c r="A20" s="126" t="s">
        <v>1069</v>
      </c>
      <c r="B20" s="127" t="s">
        <v>1070</v>
      </c>
      <c r="C20" s="128" t="s">
        <v>691</v>
      </c>
      <c r="D20" s="128" t="s">
        <v>822</v>
      </c>
      <c r="E20" s="128" t="s">
        <v>899</v>
      </c>
      <c r="F20" s="129" t="s">
        <v>1120</v>
      </c>
      <c r="G20" s="130" t="s">
        <v>1134</v>
      </c>
      <c r="H20" s="131"/>
      <c r="I20" s="132" t="s">
        <v>275</v>
      </c>
      <c r="J20" s="132">
        <v>5</v>
      </c>
      <c r="K20" s="128" t="s">
        <v>691</v>
      </c>
      <c r="L20" s="128" t="s">
        <v>822</v>
      </c>
      <c r="M20" s="128" t="s">
        <v>1004</v>
      </c>
      <c r="N20" s="132"/>
      <c r="O20" s="132" t="s">
        <v>1060</v>
      </c>
      <c r="P20" s="132" t="s">
        <v>583</v>
      </c>
      <c r="Q20" s="130" t="s">
        <v>1081</v>
      </c>
      <c r="R20" s="130" t="s">
        <v>414</v>
      </c>
      <c r="S20" s="126" t="s">
        <v>1136</v>
      </c>
    </row>
    <row r="21" spans="1:19" ht="38.25" customHeight="1">
      <c r="A21" s="126" t="s">
        <v>1069</v>
      </c>
      <c r="B21" s="127" t="s">
        <v>1070</v>
      </c>
      <c r="C21" s="128" t="s">
        <v>692</v>
      </c>
      <c r="D21" s="128" t="s">
        <v>823</v>
      </c>
      <c r="E21" s="128" t="s">
        <v>899</v>
      </c>
      <c r="F21" s="129" t="s">
        <v>1119</v>
      </c>
      <c r="G21" s="130" t="s">
        <v>1134</v>
      </c>
      <c r="H21" s="131"/>
      <c r="I21" s="132" t="s">
        <v>275</v>
      </c>
      <c r="J21" s="132">
        <v>5</v>
      </c>
      <c r="K21" s="128" t="s">
        <v>692</v>
      </c>
      <c r="L21" s="128" t="s">
        <v>823</v>
      </c>
      <c r="M21" s="128" t="s">
        <v>1005</v>
      </c>
      <c r="N21" s="132"/>
      <c r="O21" s="132" t="s">
        <v>1060</v>
      </c>
      <c r="P21" s="132" t="s">
        <v>583</v>
      </c>
      <c r="Q21" s="130" t="s">
        <v>1081</v>
      </c>
      <c r="R21" s="130" t="s">
        <v>414</v>
      </c>
      <c r="S21" s="126" t="s">
        <v>1135</v>
      </c>
    </row>
    <row r="22" spans="1:19" ht="38.25" customHeight="1">
      <c r="A22" s="126" t="s">
        <v>1069</v>
      </c>
      <c r="B22" s="127" t="s">
        <v>1070</v>
      </c>
      <c r="C22" s="128" t="s">
        <v>693</v>
      </c>
      <c r="D22" s="128" t="s">
        <v>824</v>
      </c>
      <c r="E22" s="128" t="s">
        <v>899</v>
      </c>
      <c r="F22" s="129" t="s">
        <v>1120</v>
      </c>
      <c r="G22" s="130" t="s">
        <v>1134</v>
      </c>
      <c r="H22" s="131"/>
      <c r="I22" s="132" t="s">
        <v>275</v>
      </c>
      <c r="J22" s="132">
        <v>5</v>
      </c>
      <c r="K22" s="128" t="s">
        <v>693</v>
      </c>
      <c r="L22" s="128" t="s">
        <v>824</v>
      </c>
      <c r="M22" s="128" t="s">
        <v>1006</v>
      </c>
      <c r="N22" s="132"/>
      <c r="O22" s="132" t="s">
        <v>1060</v>
      </c>
      <c r="P22" s="132" t="s">
        <v>583</v>
      </c>
      <c r="Q22" s="130" t="s">
        <v>1081</v>
      </c>
      <c r="R22" s="130" t="s">
        <v>414</v>
      </c>
      <c r="S22" s="126" t="s">
        <v>1135</v>
      </c>
    </row>
    <row r="23" spans="1:19" ht="39">
      <c r="A23" s="126" t="s">
        <v>1069</v>
      </c>
      <c r="B23" s="127" t="s">
        <v>1070</v>
      </c>
      <c r="C23" s="128" t="s">
        <v>694</v>
      </c>
      <c r="D23" s="128" t="s">
        <v>825</v>
      </c>
      <c r="E23" s="128" t="s">
        <v>900</v>
      </c>
      <c r="F23" s="129" t="s">
        <v>1121</v>
      </c>
      <c r="G23" s="130" t="s">
        <v>1134</v>
      </c>
      <c r="H23" s="131"/>
      <c r="I23" s="132" t="s">
        <v>275</v>
      </c>
      <c r="J23" s="132">
        <v>6</v>
      </c>
      <c r="K23" s="128" t="s">
        <v>694</v>
      </c>
      <c r="L23" s="128" t="s">
        <v>825</v>
      </c>
      <c r="M23" s="128" t="s">
        <v>1007</v>
      </c>
      <c r="N23" s="132"/>
      <c r="O23" s="132" t="s">
        <v>1060</v>
      </c>
      <c r="P23" s="132" t="s">
        <v>583</v>
      </c>
      <c r="Q23" s="130" t="s">
        <v>1081</v>
      </c>
      <c r="R23" s="130" t="s">
        <v>414</v>
      </c>
      <c r="S23" s="126" t="s">
        <v>1136</v>
      </c>
    </row>
    <row r="24" spans="1:19" ht="39">
      <c r="A24" s="126" t="s">
        <v>1069</v>
      </c>
      <c r="B24" s="127" t="s">
        <v>1070</v>
      </c>
      <c r="C24" s="128" t="s">
        <v>695</v>
      </c>
      <c r="D24" s="128" t="s">
        <v>826</v>
      </c>
      <c r="E24" s="128" t="s">
        <v>900</v>
      </c>
      <c r="F24" s="129" t="s">
        <v>1122</v>
      </c>
      <c r="G24" s="130" t="s">
        <v>1134</v>
      </c>
      <c r="H24" s="131"/>
      <c r="I24" s="132" t="s">
        <v>275</v>
      </c>
      <c r="J24" s="132">
        <v>6</v>
      </c>
      <c r="K24" s="128" t="s">
        <v>695</v>
      </c>
      <c r="L24" s="128" t="s">
        <v>826</v>
      </c>
      <c r="M24" s="128" t="s">
        <v>1008</v>
      </c>
      <c r="N24" s="132"/>
      <c r="O24" s="132" t="s">
        <v>1060</v>
      </c>
      <c r="P24" s="132" t="s">
        <v>583</v>
      </c>
      <c r="Q24" s="130" t="s">
        <v>1081</v>
      </c>
      <c r="R24" s="130" t="s">
        <v>414</v>
      </c>
      <c r="S24" s="126" t="s">
        <v>1136</v>
      </c>
    </row>
    <row r="25" spans="1:19" ht="39">
      <c r="A25" s="126" t="s">
        <v>1069</v>
      </c>
      <c r="B25" s="127" t="s">
        <v>1070</v>
      </c>
      <c r="C25" s="128" t="s">
        <v>696</v>
      </c>
      <c r="D25" s="128" t="s">
        <v>827</v>
      </c>
      <c r="E25" s="128" t="s">
        <v>900</v>
      </c>
      <c r="F25" s="129" t="s">
        <v>1121</v>
      </c>
      <c r="G25" s="130" t="s">
        <v>1134</v>
      </c>
      <c r="H25" s="131"/>
      <c r="I25" s="132" t="s">
        <v>275</v>
      </c>
      <c r="J25" s="132">
        <v>6</v>
      </c>
      <c r="K25" s="128" t="s">
        <v>696</v>
      </c>
      <c r="L25" s="128" t="s">
        <v>827</v>
      </c>
      <c r="M25" s="128" t="s">
        <v>1009</v>
      </c>
      <c r="N25" s="132"/>
      <c r="O25" s="132" t="s">
        <v>1060</v>
      </c>
      <c r="P25" s="132" t="s">
        <v>583</v>
      </c>
      <c r="Q25" s="130" t="s">
        <v>1081</v>
      </c>
      <c r="R25" s="130" t="s">
        <v>414</v>
      </c>
      <c r="S25" s="126" t="s">
        <v>1135</v>
      </c>
    </row>
    <row r="26" spans="1:19" ht="39">
      <c r="A26" s="126" t="s">
        <v>1069</v>
      </c>
      <c r="B26" s="127" t="s">
        <v>1070</v>
      </c>
      <c r="C26" s="128" t="s">
        <v>697</v>
      </c>
      <c r="D26" s="128" t="s">
        <v>828</v>
      </c>
      <c r="E26" s="128" t="s">
        <v>900</v>
      </c>
      <c r="F26" s="129" t="s">
        <v>1122</v>
      </c>
      <c r="G26" s="130" t="s">
        <v>1134</v>
      </c>
      <c r="H26" s="131"/>
      <c r="I26" s="132" t="s">
        <v>275</v>
      </c>
      <c r="J26" s="132">
        <v>6</v>
      </c>
      <c r="K26" s="128" t="s">
        <v>697</v>
      </c>
      <c r="L26" s="128" t="s">
        <v>828</v>
      </c>
      <c r="M26" s="128" t="s">
        <v>1010</v>
      </c>
      <c r="N26" s="132"/>
      <c r="O26" s="132" t="s">
        <v>1060</v>
      </c>
      <c r="P26" s="132" t="s">
        <v>583</v>
      </c>
      <c r="Q26" s="130" t="s">
        <v>1081</v>
      </c>
      <c r="R26" s="130" t="s">
        <v>414</v>
      </c>
      <c r="S26" s="126" t="s">
        <v>1135</v>
      </c>
    </row>
    <row r="27" spans="1:19" ht="38.25">
      <c r="A27" s="126" t="s">
        <v>1069</v>
      </c>
      <c r="B27" s="126" t="s">
        <v>1070</v>
      </c>
      <c r="C27" s="126" t="s">
        <v>737</v>
      </c>
      <c r="D27" s="126" t="s">
        <v>868</v>
      </c>
      <c r="E27" s="126" t="s">
        <v>894</v>
      </c>
      <c r="F27" s="126" t="s">
        <v>1113</v>
      </c>
      <c r="G27" s="126" t="s">
        <v>1134</v>
      </c>
      <c r="H27" s="126"/>
      <c r="I27" s="126" t="s">
        <v>275</v>
      </c>
      <c r="J27" s="132">
        <v>2</v>
      </c>
      <c r="K27" s="126" t="s">
        <v>737</v>
      </c>
      <c r="L27" s="126" t="s">
        <v>868</v>
      </c>
      <c r="M27" s="126" t="s">
        <v>1051</v>
      </c>
      <c r="N27" s="126"/>
      <c r="O27" s="126" t="s">
        <v>1060</v>
      </c>
      <c r="P27" s="126" t="s">
        <v>583</v>
      </c>
      <c r="Q27" s="126" t="s">
        <v>1081</v>
      </c>
      <c r="R27" s="126" t="s">
        <v>414</v>
      </c>
      <c r="S27" s="126" t="s">
        <v>1136</v>
      </c>
    </row>
    <row r="28" spans="1:19" ht="38.25">
      <c r="A28" s="126" t="s">
        <v>1069</v>
      </c>
      <c r="B28" s="126" t="s">
        <v>1070</v>
      </c>
      <c r="C28" s="126" t="s">
        <v>738</v>
      </c>
      <c r="D28" s="126" t="s">
        <v>869</v>
      </c>
      <c r="E28" s="126" t="s">
        <v>894</v>
      </c>
      <c r="F28" s="126" t="s">
        <v>1114</v>
      </c>
      <c r="G28" s="126" t="s">
        <v>1134</v>
      </c>
      <c r="H28" s="126"/>
      <c r="I28" s="126" t="s">
        <v>275</v>
      </c>
      <c r="J28" s="132">
        <v>2</v>
      </c>
      <c r="K28" s="126" t="s">
        <v>738</v>
      </c>
      <c r="L28" s="126" t="s">
        <v>869</v>
      </c>
      <c r="M28" s="126" t="s">
        <v>1052</v>
      </c>
      <c r="N28" s="126"/>
      <c r="O28" s="126" t="s">
        <v>1060</v>
      </c>
      <c r="P28" s="126" t="s">
        <v>583</v>
      </c>
      <c r="Q28" s="126" t="s">
        <v>1081</v>
      </c>
      <c r="R28" s="126" t="s">
        <v>414</v>
      </c>
      <c r="S28" s="126" t="s">
        <v>1136</v>
      </c>
    </row>
    <row r="29" spans="1:19" ht="26.25">
      <c r="A29" s="97" t="s">
        <v>1071</v>
      </c>
      <c r="B29" s="98" t="s">
        <v>1072</v>
      </c>
      <c r="C29" s="99" t="s">
        <v>668</v>
      </c>
      <c r="D29" s="99" t="s">
        <v>799</v>
      </c>
      <c r="E29" s="99" t="s">
        <v>896</v>
      </c>
      <c r="F29" s="100" t="s">
        <v>1147</v>
      </c>
      <c r="G29" s="103" t="s">
        <v>1134</v>
      </c>
      <c r="H29" s="101"/>
      <c r="I29" s="102" t="s">
        <v>275</v>
      </c>
      <c r="J29" s="102">
        <v>7</v>
      </c>
      <c r="K29" s="99" t="s">
        <v>668</v>
      </c>
      <c r="L29" s="99" t="s">
        <v>799</v>
      </c>
      <c r="M29" s="99" t="s">
        <v>981</v>
      </c>
      <c r="N29" s="102"/>
      <c r="O29" s="102" t="s">
        <v>1060</v>
      </c>
      <c r="P29" s="102" t="s">
        <v>583</v>
      </c>
      <c r="Q29" s="103" t="s">
        <v>1081</v>
      </c>
      <c r="R29" s="103" t="s">
        <v>414</v>
      </c>
      <c r="S29" s="97" t="s">
        <v>1137</v>
      </c>
    </row>
    <row r="30" spans="1:19" ht="26.25">
      <c r="A30" s="97" t="s">
        <v>1071</v>
      </c>
      <c r="B30" s="98" t="s">
        <v>1072</v>
      </c>
      <c r="C30" s="99" t="s">
        <v>669</v>
      </c>
      <c r="D30" s="99" t="s">
        <v>800</v>
      </c>
      <c r="E30" s="99" t="s">
        <v>896</v>
      </c>
      <c r="F30" s="100" t="s">
        <v>1148</v>
      </c>
      <c r="G30" s="103" t="s">
        <v>1134</v>
      </c>
      <c r="H30" s="101"/>
      <c r="I30" s="102" t="s">
        <v>275</v>
      </c>
      <c r="J30" s="102">
        <v>7</v>
      </c>
      <c r="K30" s="99" t="s">
        <v>669</v>
      </c>
      <c r="L30" s="99" t="s">
        <v>800</v>
      </c>
      <c r="M30" s="99" t="s">
        <v>982</v>
      </c>
      <c r="N30" s="102"/>
      <c r="O30" s="102" t="s">
        <v>1060</v>
      </c>
      <c r="P30" s="102" t="s">
        <v>583</v>
      </c>
      <c r="Q30" s="103" t="s">
        <v>1081</v>
      </c>
      <c r="R30" s="103" t="s">
        <v>414</v>
      </c>
      <c r="S30" s="97" t="s">
        <v>1137</v>
      </c>
    </row>
    <row r="31" spans="1:19" ht="26.25">
      <c r="A31" s="97" t="s">
        <v>1071</v>
      </c>
      <c r="B31" s="98" t="s">
        <v>1072</v>
      </c>
      <c r="C31" s="99" t="s">
        <v>670</v>
      </c>
      <c r="D31" s="99" t="s">
        <v>801</v>
      </c>
      <c r="E31" s="99" t="s">
        <v>896</v>
      </c>
      <c r="F31" s="100" t="s">
        <v>1149</v>
      </c>
      <c r="G31" s="103" t="s">
        <v>1134</v>
      </c>
      <c r="H31" s="101"/>
      <c r="I31" s="102" t="s">
        <v>275</v>
      </c>
      <c r="J31" s="102">
        <v>7</v>
      </c>
      <c r="K31" s="99" t="s">
        <v>670</v>
      </c>
      <c r="L31" s="99" t="s">
        <v>801</v>
      </c>
      <c r="M31" s="99" t="s">
        <v>983</v>
      </c>
      <c r="N31" s="102"/>
      <c r="O31" s="102" t="s">
        <v>1060</v>
      </c>
      <c r="P31" s="102" t="s">
        <v>583</v>
      </c>
      <c r="Q31" s="103" t="s">
        <v>1081</v>
      </c>
      <c r="R31" s="103" t="s">
        <v>414</v>
      </c>
      <c r="S31" s="97" t="s">
        <v>1137</v>
      </c>
    </row>
    <row r="32" spans="1:19" ht="26.25">
      <c r="A32" s="97" t="s">
        <v>1071</v>
      </c>
      <c r="B32" s="98" t="s">
        <v>1072</v>
      </c>
      <c r="C32" s="99" t="s">
        <v>671</v>
      </c>
      <c r="D32" s="99" t="s">
        <v>802</v>
      </c>
      <c r="E32" s="99" t="s">
        <v>897</v>
      </c>
      <c r="F32" s="100" t="s">
        <v>1150</v>
      </c>
      <c r="G32" s="103" t="s">
        <v>1134</v>
      </c>
      <c r="H32" s="101"/>
      <c r="I32" s="98" t="s">
        <v>277</v>
      </c>
      <c r="J32" s="102">
        <v>8</v>
      </c>
      <c r="K32" s="99" t="s">
        <v>671</v>
      </c>
      <c r="L32" s="99" t="s">
        <v>802</v>
      </c>
      <c r="M32" s="99" t="s">
        <v>984</v>
      </c>
      <c r="N32" s="102">
        <v>2878572</v>
      </c>
      <c r="O32" s="102">
        <v>4850</v>
      </c>
      <c r="P32" s="102" t="s">
        <v>583</v>
      </c>
      <c r="Q32" s="103" t="s">
        <v>1081</v>
      </c>
      <c r="R32" s="103" t="s">
        <v>414</v>
      </c>
      <c r="S32" s="97" t="s">
        <v>1137</v>
      </c>
    </row>
    <row r="33" spans="1:19" ht="26.25">
      <c r="A33" s="97" t="s">
        <v>1071</v>
      </c>
      <c r="B33" s="98" t="s">
        <v>1072</v>
      </c>
      <c r="C33" s="99" t="s">
        <v>672</v>
      </c>
      <c r="D33" s="99" t="s">
        <v>803</v>
      </c>
      <c r="E33" s="99" t="s">
        <v>897</v>
      </c>
      <c r="F33" s="100" t="s">
        <v>1151</v>
      </c>
      <c r="G33" s="103" t="s">
        <v>1134</v>
      </c>
      <c r="H33" s="101"/>
      <c r="I33" s="98" t="s">
        <v>277</v>
      </c>
      <c r="J33" s="102">
        <v>8</v>
      </c>
      <c r="K33" s="99" t="s">
        <v>672</v>
      </c>
      <c r="L33" s="99" t="s">
        <v>803</v>
      </c>
      <c r="M33" s="99" t="s">
        <v>985</v>
      </c>
      <c r="N33" s="102">
        <v>2878573</v>
      </c>
      <c r="O33" s="102">
        <v>4850</v>
      </c>
      <c r="P33" s="102" t="s">
        <v>583</v>
      </c>
      <c r="Q33" s="103" t="s">
        <v>1081</v>
      </c>
      <c r="R33" s="103" t="s">
        <v>414</v>
      </c>
      <c r="S33" s="97" t="s">
        <v>1137</v>
      </c>
    </row>
    <row r="34" spans="1:19" ht="51.75" customHeight="1">
      <c r="A34" s="97" t="s">
        <v>1071</v>
      </c>
      <c r="B34" s="98" t="s">
        <v>1072</v>
      </c>
      <c r="C34" s="99" t="s">
        <v>673</v>
      </c>
      <c r="D34" s="99" t="s">
        <v>804</v>
      </c>
      <c r="E34" s="99" t="s">
        <v>897</v>
      </c>
      <c r="F34" s="100" t="s">
        <v>1152</v>
      </c>
      <c r="G34" s="103" t="s">
        <v>1134</v>
      </c>
      <c r="H34" s="101"/>
      <c r="I34" s="98" t="s">
        <v>277</v>
      </c>
      <c r="J34" s="102">
        <v>8</v>
      </c>
      <c r="K34" s="99" t="s">
        <v>673</v>
      </c>
      <c r="L34" s="99" t="s">
        <v>804</v>
      </c>
      <c r="M34" s="99" t="s">
        <v>986</v>
      </c>
      <c r="N34" s="102">
        <v>2878574</v>
      </c>
      <c r="O34" s="102">
        <v>4850</v>
      </c>
      <c r="P34" s="102" t="s">
        <v>583</v>
      </c>
      <c r="Q34" s="103" t="s">
        <v>1081</v>
      </c>
      <c r="R34" s="103" t="s">
        <v>414</v>
      </c>
      <c r="S34" s="97" t="s">
        <v>1137</v>
      </c>
    </row>
    <row r="35" spans="1:19" ht="39" customHeight="1">
      <c r="A35" s="97" t="s">
        <v>1071</v>
      </c>
      <c r="B35" s="98" t="s">
        <v>1072</v>
      </c>
      <c r="C35" s="99" t="s">
        <v>674</v>
      </c>
      <c r="D35" s="99" t="s">
        <v>805</v>
      </c>
      <c r="E35" s="99" t="s">
        <v>897</v>
      </c>
      <c r="F35" s="100" t="s">
        <v>1150</v>
      </c>
      <c r="G35" s="103" t="s">
        <v>1134</v>
      </c>
      <c r="H35" s="101"/>
      <c r="I35" s="102" t="s">
        <v>275</v>
      </c>
      <c r="J35" s="102">
        <v>8</v>
      </c>
      <c r="K35" s="99" t="s">
        <v>674</v>
      </c>
      <c r="L35" s="99" t="s">
        <v>805</v>
      </c>
      <c r="M35" s="99" t="s">
        <v>987</v>
      </c>
      <c r="N35" s="102"/>
      <c r="O35" s="102" t="s">
        <v>1060</v>
      </c>
      <c r="P35" s="102" t="s">
        <v>583</v>
      </c>
      <c r="Q35" s="103" t="s">
        <v>1081</v>
      </c>
      <c r="R35" s="103" t="s">
        <v>414</v>
      </c>
      <c r="S35" s="97" t="s">
        <v>1138</v>
      </c>
    </row>
    <row r="36" spans="1:19" ht="51.75" customHeight="1">
      <c r="A36" s="97" t="s">
        <v>1071</v>
      </c>
      <c r="B36" s="98" t="s">
        <v>1072</v>
      </c>
      <c r="C36" s="99" t="s">
        <v>675</v>
      </c>
      <c r="D36" s="99" t="s">
        <v>806</v>
      </c>
      <c r="E36" s="99" t="s">
        <v>897</v>
      </c>
      <c r="F36" s="100" t="s">
        <v>1151</v>
      </c>
      <c r="G36" s="103" t="s">
        <v>1134</v>
      </c>
      <c r="H36" s="101"/>
      <c r="I36" s="102" t="s">
        <v>275</v>
      </c>
      <c r="J36" s="102">
        <v>8</v>
      </c>
      <c r="K36" s="99" t="s">
        <v>675</v>
      </c>
      <c r="L36" s="99" t="s">
        <v>806</v>
      </c>
      <c r="M36" s="99" t="s">
        <v>988</v>
      </c>
      <c r="N36" s="102"/>
      <c r="O36" s="102" t="s">
        <v>1060</v>
      </c>
      <c r="P36" s="102" t="s">
        <v>583</v>
      </c>
      <c r="Q36" s="103" t="s">
        <v>1081</v>
      </c>
      <c r="R36" s="103" t="s">
        <v>414</v>
      </c>
      <c r="S36" s="97" t="s">
        <v>1138</v>
      </c>
    </row>
    <row r="37" spans="1:19" ht="39" customHeight="1">
      <c r="A37" s="97" t="s">
        <v>1071</v>
      </c>
      <c r="B37" s="98" t="s">
        <v>1072</v>
      </c>
      <c r="C37" s="99" t="s">
        <v>676</v>
      </c>
      <c r="D37" s="99" t="s">
        <v>807</v>
      </c>
      <c r="E37" s="99" t="s">
        <v>897</v>
      </c>
      <c r="F37" s="100" t="s">
        <v>1152</v>
      </c>
      <c r="G37" s="103" t="s">
        <v>1134</v>
      </c>
      <c r="H37" s="101"/>
      <c r="I37" s="102" t="s">
        <v>275</v>
      </c>
      <c r="J37" s="102">
        <v>8</v>
      </c>
      <c r="K37" s="99" t="s">
        <v>676</v>
      </c>
      <c r="L37" s="99" t="s">
        <v>807</v>
      </c>
      <c r="M37" s="99" t="s">
        <v>989</v>
      </c>
      <c r="N37" s="102"/>
      <c r="O37" s="102" t="s">
        <v>1060</v>
      </c>
      <c r="P37" s="102" t="s">
        <v>583</v>
      </c>
      <c r="Q37" s="103" t="s">
        <v>1081</v>
      </c>
      <c r="R37" s="103" t="s">
        <v>414</v>
      </c>
      <c r="S37" s="97" t="s">
        <v>1138</v>
      </c>
    </row>
    <row r="38" spans="1:19" ht="39" customHeight="1">
      <c r="A38" s="97" t="s">
        <v>1071</v>
      </c>
      <c r="B38" s="98" t="s">
        <v>1072</v>
      </c>
      <c r="C38" s="99" t="s">
        <v>677</v>
      </c>
      <c r="D38" s="99" t="s">
        <v>808</v>
      </c>
      <c r="E38" s="99" t="s">
        <v>896</v>
      </c>
      <c r="F38" s="100" t="s">
        <v>1147</v>
      </c>
      <c r="G38" s="103" t="s">
        <v>1134</v>
      </c>
      <c r="H38" s="101"/>
      <c r="I38" s="102" t="s">
        <v>275</v>
      </c>
      <c r="J38" s="102">
        <v>7</v>
      </c>
      <c r="K38" s="99" t="s">
        <v>677</v>
      </c>
      <c r="L38" s="99" t="s">
        <v>808</v>
      </c>
      <c r="M38" s="99" t="s">
        <v>990</v>
      </c>
      <c r="N38" s="102"/>
      <c r="O38" s="102" t="s">
        <v>1060</v>
      </c>
      <c r="P38" s="102" t="s">
        <v>583</v>
      </c>
      <c r="Q38" s="103" t="s">
        <v>1081</v>
      </c>
      <c r="R38" s="103" t="s">
        <v>414</v>
      </c>
      <c r="S38" s="97" t="s">
        <v>1138</v>
      </c>
    </row>
    <row r="39" spans="1:19" ht="39" customHeight="1">
      <c r="A39" s="97" t="s">
        <v>1071</v>
      </c>
      <c r="B39" s="98" t="s">
        <v>1072</v>
      </c>
      <c r="C39" s="99" t="s">
        <v>678</v>
      </c>
      <c r="D39" s="99" t="s">
        <v>809</v>
      </c>
      <c r="E39" s="99" t="s">
        <v>896</v>
      </c>
      <c r="F39" s="100" t="s">
        <v>1148</v>
      </c>
      <c r="G39" s="103" t="s">
        <v>1134</v>
      </c>
      <c r="H39" s="101"/>
      <c r="I39" s="102" t="s">
        <v>275</v>
      </c>
      <c r="J39" s="102">
        <v>7</v>
      </c>
      <c r="K39" s="99" t="s">
        <v>678</v>
      </c>
      <c r="L39" s="99" t="s">
        <v>809</v>
      </c>
      <c r="M39" s="99" t="s">
        <v>991</v>
      </c>
      <c r="N39" s="102"/>
      <c r="O39" s="102" t="s">
        <v>1060</v>
      </c>
      <c r="P39" s="102" t="s">
        <v>583</v>
      </c>
      <c r="Q39" s="103" t="s">
        <v>1081</v>
      </c>
      <c r="R39" s="103" t="s">
        <v>414</v>
      </c>
      <c r="S39" s="97" t="s">
        <v>1138</v>
      </c>
    </row>
    <row r="40" spans="1:19" ht="39" customHeight="1">
      <c r="A40" s="97" t="s">
        <v>1071</v>
      </c>
      <c r="B40" s="98" t="s">
        <v>1072</v>
      </c>
      <c r="C40" s="99" t="s">
        <v>679</v>
      </c>
      <c r="D40" s="99" t="s">
        <v>810</v>
      </c>
      <c r="E40" s="99" t="s">
        <v>896</v>
      </c>
      <c r="F40" s="100" t="s">
        <v>1149</v>
      </c>
      <c r="G40" s="103" t="s">
        <v>1134</v>
      </c>
      <c r="H40" s="101"/>
      <c r="I40" s="102" t="s">
        <v>275</v>
      </c>
      <c r="J40" s="102">
        <v>7</v>
      </c>
      <c r="K40" s="99" t="s">
        <v>679</v>
      </c>
      <c r="L40" s="99" t="s">
        <v>810</v>
      </c>
      <c r="M40" s="99" t="s">
        <v>992</v>
      </c>
      <c r="N40" s="102"/>
      <c r="O40" s="102" t="s">
        <v>1060</v>
      </c>
      <c r="P40" s="102" t="s">
        <v>583</v>
      </c>
      <c r="Q40" s="103" t="s">
        <v>1081</v>
      </c>
      <c r="R40" s="103" t="s">
        <v>414</v>
      </c>
      <c r="S40" s="97" t="s">
        <v>1138</v>
      </c>
    </row>
    <row r="41" spans="1:19" ht="39" customHeight="1">
      <c r="A41" s="97" t="s">
        <v>1071</v>
      </c>
      <c r="B41" s="98" t="s">
        <v>1072</v>
      </c>
      <c r="C41" s="99" t="s">
        <v>698</v>
      </c>
      <c r="D41" s="99" t="s">
        <v>829</v>
      </c>
      <c r="E41" s="99" t="s">
        <v>901</v>
      </c>
      <c r="F41" s="100" t="s">
        <v>1153</v>
      </c>
      <c r="G41" s="103" t="s">
        <v>1134</v>
      </c>
      <c r="H41" s="101"/>
      <c r="I41" s="102" t="s">
        <v>275</v>
      </c>
      <c r="J41" s="102">
        <v>7</v>
      </c>
      <c r="K41" s="99" t="s">
        <v>698</v>
      </c>
      <c r="L41" s="99" t="s">
        <v>829</v>
      </c>
      <c r="M41" s="99" t="s">
        <v>1011</v>
      </c>
      <c r="N41" s="102"/>
      <c r="O41" s="102" t="s">
        <v>1060</v>
      </c>
      <c r="P41" s="102" t="s">
        <v>583</v>
      </c>
      <c r="Q41" s="103" t="s">
        <v>1081</v>
      </c>
      <c r="R41" s="103" t="s">
        <v>414</v>
      </c>
      <c r="S41" s="97" t="s">
        <v>1137</v>
      </c>
    </row>
    <row r="42" spans="1:19" ht="39" customHeight="1">
      <c r="A42" s="97" t="s">
        <v>1071</v>
      </c>
      <c r="B42" s="98" t="s">
        <v>1072</v>
      </c>
      <c r="C42" s="99" t="s">
        <v>699</v>
      </c>
      <c r="D42" s="99" t="s">
        <v>830</v>
      </c>
      <c r="E42" s="99" t="s">
        <v>901</v>
      </c>
      <c r="F42" s="100" t="s">
        <v>1154</v>
      </c>
      <c r="G42" s="103" t="s">
        <v>1134</v>
      </c>
      <c r="H42" s="101"/>
      <c r="I42" s="102" t="s">
        <v>275</v>
      </c>
      <c r="J42" s="102">
        <v>7</v>
      </c>
      <c r="K42" s="99" t="s">
        <v>699</v>
      </c>
      <c r="L42" s="99" t="s">
        <v>830</v>
      </c>
      <c r="M42" s="99" t="s">
        <v>1012</v>
      </c>
      <c r="N42" s="102"/>
      <c r="O42" s="102" t="s">
        <v>1060</v>
      </c>
      <c r="P42" s="102" t="s">
        <v>583</v>
      </c>
      <c r="Q42" s="103" t="s">
        <v>1081</v>
      </c>
      <c r="R42" s="103" t="s">
        <v>414</v>
      </c>
      <c r="S42" s="97" t="s">
        <v>1138</v>
      </c>
    </row>
    <row r="43" spans="1:19" ht="39" customHeight="1">
      <c r="A43" s="97" t="s">
        <v>1071</v>
      </c>
      <c r="B43" s="98" t="s">
        <v>1072</v>
      </c>
      <c r="C43" s="99" t="s">
        <v>700</v>
      </c>
      <c r="D43" s="99" t="s">
        <v>831</v>
      </c>
      <c r="E43" s="99" t="s">
        <v>901</v>
      </c>
      <c r="F43" s="100" t="s">
        <v>1155</v>
      </c>
      <c r="G43" s="103" t="s">
        <v>1134</v>
      </c>
      <c r="H43" s="101"/>
      <c r="I43" s="102" t="s">
        <v>275</v>
      </c>
      <c r="J43" s="102">
        <v>7</v>
      </c>
      <c r="K43" s="99" t="s">
        <v>700</v>
      </c>
      <c r="L43" s="99" t="s">
        <v>831</v>
      </c>
      <c r="M43" s="99" t="s">
        <v>1013</v>
      </c>
      <c r="N43" s="102"/>
      <c r="O43" s="102" t="s">
        <v>1060</v>
      </c>
      <c r="P43" s="102" t="s">
        <v>583</v>
      </c>
      <c r="Q43" s="103" t="s">
        <v>1081</v>
      </c>
      <c r="R43" s="103" t="s">
        <v>414</v>
      </c>
      <c r="S43" s="97" t="s">
        <v>1137</v>
      </c>
    </row>
    <row r="44" spans="1:19" ht="39" customHeight="1">
      <c r="A44" s="97" t="s">
        <v>1071</v>
      </c>
      <c r="B44" s="98" t="s">
        <v>1072</v>
      </c>
      <c r="C44" s="99" t="s">
        <v>701</v>
      </c>
      <c r="D44" s="99" t="s">
        <v>832</v>
      </c>
      <c r="E44" s="99" t="s">
        <v>901</v>
      </c>
      <c r="F44" s="100" t="s">
        <v>1153</v>
      </c>
      <c r="G44" s="103" t="s">
        <v>1134</v>
      </c>
      <c r="H44" s="101"/>
      <c r="I44" s="102" t="s">
        <v>275</v>
      </c>
      <c r="J44" s="102">
        <v>7</v>
      </c>
      <c r="K44" s="99" t="s">
        <v>701</v>
      </c>
      <c r="L44" s="99" t="s">
        <v>832</v>
      </c>
      <c r="M44" s="99" t="s">
        <v>1014</v>
      </c>
      <c r="N44" s="102"/>
      <c r="O44" s="102" t="s">
        <v>1060</v>
      </c>
      <c r="P44" s="102" t="s">
        <v>583</v>
      </c>
      <c r="Q44" s="103" t="s">
        <v>1081</v>
      </c>
      <c r="R44" s="103" t="s">
        <v>414</v>
      </c>
      <c r="S44" s="97" t="s">
        <v>1138</v>
      </c>
    </row>
    <row r="45" spans="1:19" ht="39" customHeight="1">
      <c r="A45" s="97" t="s">
        <v>1071</v>
      </c>
      <c r="B45" s="98" t="s">
        <v>1072</v>
      </c>
      <c r="C45" s="99" t="s">
        <v>702</v>
      </c>
      <c r="D45" s="99" t="s">
        <v>833</v>
      </c>
      <c r="E45" s="99" t="s">
        <v>901</v>
      </c>
      <c r="F45" s="100" t="s">
        <v>1154</v>
      </c>
      <c r="G45" s="103" t="s">
        <v>1134</v>
      </c>
      <c r="H45" s="101"/>
      <c r="I45" s="102" t="s">
        <v>275</v>
      </c>
      <c r="J45" s="102">
        <v>7</v>
      </c>
      <c r="K45" s="99" t="s">
        <v>702</v>
      </c>
      <c r="L45" s="99" t="s">
        <v>833</v>
      </c>
      <c r="M45" s="99" t="s">
        <v>1015</v>
      </c>
      <c r="N45" s="102"/>
      <c r="O45" s="102" t="s">
        <v>1060</v>
      </c>
      <c r="P45" s="102" t="s">
        <v>583</v>
      </c>
      <c r="Q45" s="103" t="s">
        <v>1081</v>
      </c>
      <c r="R45" s="103" t="s">
        <v>414</v>
      </c>
      <c r="S45" s="97" t="s">
        <v>1138</v>
      </c>
    </row>
    <row r="46" spans="1:19" ht="39" customHeight="1">
      <c r="A46" s="97" t="s">
        <v>1071</v>
      </c>
      <c r="B46" s="98" t="s">
        <v>1072</v>
      </c>
      <c r="C46" s="99" t="s">
        <v>703</v>
      </c>
      <c r="D46" s="99" t="s">
        <v>834</v>
      </c>
      <c r="E46" s="99" t="s">
        <v>901</v>
      </c>
      <c r="F46" s="100" t="s">
        <v>1155</v>
      </c>
      <c r="G46" s="103" t="s">
        <v>1134</v>
      </c>
      <c r="H46" s="101"/>
      <c r="I46" s="102" t="s">
        <v>275</v>
      </c>
      <c r="J46" s="102">
        <v>7</v>
      </c>
      <c r="K46" s="99" t="s">
        <v>703</v>
      </c>
      <c r="L46" s="99" t="s">
        <v>834</v>
      </c>
      <c r="M46" s="99" t="s">
        <v>1017</v>
      </c>
      <c r="N46" s="102"/>
      <c r="O46" s="102" t="s">
        <v>1060</v>
      </c>
      <c r="P46" s="102" t="s">
        <v>583</v>
      </c>
      <c r="Q46" s="103" t="s">
        <v>1081</v>
      </c>
      <c r="R46" s="103" t="s">
        <v>414</v>
      </c>
      <c r="S46" s="97" t="s">
        <v>1138</v>
      </c>
    </row>
    <row r="47" spans="1:19" ht="39" customHeight="1">
      <c r="A47" s="97" t="s">
        <v>1071</v>
      </c>
      <c r="B47" s="98" t="s">
        <v>1072</v>
      </c>
      <c r="C47" s="99" t="s">
        <v>704</v>
      </c>
      <c r="D47" s="99" t="s">
        <v>835</v>
      </c>
      <c r="E47" s="99" t="s">
        <v>902</v>
      </c>
      <c r="F47" s="100" t="s">
        <v>1150</v>
      </c>
      <c r="G47" s="103" t="s">
        <v>1134</v>
      </c>
      <c r="H47" s="101"/>
      <c r="I47" s="102" t="s">
        <v>275</v>
      </c>
      <c r="J47" s="102">
        <v>8</v>
      </c>
      <c r="K47" s="99" t="s">
        <v>704</v>
      </c>
      <c r="L47" s="99" t="s">
        <v>835</v>
      </c>
      <c r="M47" s="99" t="s">
        <v>1018</v>
      </c>
      <c r="N47" s="102"/>
      <c r="O47" s="102" t="s">
        <v>1060</v>
      </c>
      <c r="P47" s="102" t="s">
        <v>583</v>
      </c>
      <c r="Q47" s="103" t="s">
        <v>1081</v>
      </c>
      <c r="R47" s="103" t="s">
        <v>414</v>
      </c>
      <c r="S47" s="97" t="s">
        <v>1137</v>
      </c>
    </row>
    <row r="48" spans="1:19" ht="39" customHeight="1">
      <c r="A48" s="97" t="s">
        <v>1071</v>
      </c>
      <c r="B48" s="98" t="s">
        <v>1072</v>
      </c>
      <c r="C48" s="99" t="s">
        <v>705</v>
      </c>
      <c r="D48" s="99" t="s">
        <v>836</v>
      </c>
      <c r="E48" s="99" t="s">
        <v>902</v>
      </c>
      <c r="F48" s="100" t="s">
        <v>1151</v>
      </c>
      <c r="G48" s="103" t="s">
        <v>1134</v>
      </c>
      <c r="H48" s="101"/>
      <c r="I48" s="102" t="s">
        <v>275</v>
      </c>
      <c r="J48" s="102">
        <v>8</v>
      </c>
      <c r="K48" s="99" t="s">
        <v>705</v>
      </c>
      <c r="L48" s="99" t="s">
        <v>836</v>
      </c>
      <c r="M48" s="99" t="s">
        <v>1019</v>
      </c>
      <c r="N48" s="102"/>
      <c r="O48" s="102" t="s">
        <v>1060</v>
      </c>
      <c r="P48" s="102" t="s">
        <v>583</v>
      </c>
      <c r="Q48" s="103" t="s">
        <v>1081</v>
      </c>
      <c r="R48" s="103" t="s">
        <v>414</v>
      </c>
      <c r="S48" s="97" t="s">
        <v>1137</v>
      </c>
    </row>
    <row r="49" spans="1:19" ht="39" customHeight="1">
      <c r="A49" s="97" t="s">
        <v>1071</v>
      </c>
      <c r="B49" s="98" t="s">
        <v>1072</v>
      </c>
      <c r="C49" s="99" t="s">
        <v>706</v>
      </c>
      <c r="D49" s="99" t="s">
        <v>837</v>
      </c>
      <c r="E49" s="99" t="s">
        <v>902</v>
      </c>
      <c r="F49" s="100" t="s">
        <v>1152</v>
      </c>
      <c r="G49" s="103" t="s">
        <v>1134</v>
      </c>
      <c r="H49" s="101"/>
      <c r="I49" s="102" t="s">
        <v>275</v>
      </c>
      <c r="J49" s="102">
        <v>8</v>
      </c>
      <c r="K49" s="99" t="s">
        <v>706</v>
      </c>
      <c r="L49" s="99" t="s">
        <v>837</v>
      </c>
      <c r="M49" s="99" t="s">
        <v>1020</v>
      </c>
      <c r="N49" s="102"/>
      <c r="O49" s="102" t="s">
        <v>1060</v>
      </c>
      <c r="P49" s="102" t="s">
        <v>583</v>
      </c>
      <c r="Q49" s="103" t="s">
        <v>1081</v>
      </c>
      <c r="R49" s="103" t="s">
        <v>414</v>
      </c>
      <c r="S49" s="97" t="s">
        <v>1137</v>
      </c>
    </row>
    <row r="50" spans="1:19" ht="39" customHeight="1">
      <c r="A50" s="97" t="s">
        <v>1071</v>
      </c>
      <c r="B50" s="98" t="s">
        <v>1072</v>
      </c>
      <c r="C50" s="99" t="s">
        <v>707</v>
      </c>
      <c r="D50" s="99" t="s">
        <v>838</v>
      </c>
      <c r="E50" s="99" t="s">
        <v>902</v>
      </c>
      <c r="F50" s="100" t="s">
        <v>1150</v>
      </c>
      <c r="G50" s="103" t="s">
        <v>1134</v>
      </c>
      <c r="H50" s="101"/>
      <c r="I50" s="102" t="s">
        <v>275</v>
      </c>
      <c r="J50" s="102">
        <v>8</v>
      </c>
      <c r="K50" s="99" t="s">
        <v>707</v>
      </c>
      <c r="L50" s="99" t="s">
        <v>838</v>
      </c>
      <c r="M50" s="99" t="s">
        <v>1021</v>
      </c>
      <c r="N50" s="102"/>
      <c r="O50" s="102" t="s">
        <v>1060</v>
      </c>
      <c r="P50" s="102" t="s">
        <v>583</v>
      </c>
      <c r="Q50" s="103" t="s">
        <v>1081</v>
      </c>
      <c r="R50" s="103" t="s">
        <v>414</v>
      </c>
      <c r="S50" s="97" t="s">
        <v>1138</v>
      </c>
    </row>
    <row r="51" spans="1:19" ht="39" customHeight="1">
      <c r="A51" s="97" t="s">
        <v>1071</v>
      </c>
      <c r="B51" s="98" t="s">
        <v>1072</v>
      </c>
      <c r="C51" s="99" t="s">
        <v>708</v>
      </c>
      <c r="D51" s="99" t="s">
        <v>839</v>
      </c>
      <c r="E51" s="99" t="s">
        <v>902</v>
      </c>
      <c r="F51" s="100" t="s">
        <v>1151</v>
      </c>
      <c r="G51" s="103" t="s">
        <v>1134</v>
      </c>
      <c r="H51" s="101"/>
      <c r="I51" s="102" t="s">
        <v>275</v>
      </c>
      <c r="J51" s="102">
        <v>8</v>
      </c>
      <c r="K51" s="99" t="s">
        <v>708</v>
      </c>
      <c r="L51" s="99" t="s">
        <v>839</v>
      </c>
      <c r="M51" s="99" t="s">
        <v>1022</v>
      </c>
      <c r="N51" s="102"/>
      <c r="O51" s="102" t="s">
        <v>1060</v>
      </c>
      <c r="P51" s="102" t="s">
        <v>583</v>
      </c>
      <c r="Q51" s="103" t="s">
        <v>1081</v>
      </c>
      <c r="R51" s="103" t="s">
        <v>414</v>
      </c>
      <c r="S51" s="97" t="s">
        <v>1138</v>
      </c>
    </row>
    <row r="52" spans="1:19" ht="39" customHeight="1">
      <c r="A52" s="97" t="s">
        <v>1071</v>
      </c>
      <c r="B52" s="98" t="s">
        <v>1072</v>
      </c>
      <c r="C52" s="99" t="s">
        <v>709</v>
      </c>
      <c r="D52" s="99" t="s">
        <v>840</v>
      </c>
      <c r="E52" s="99" t="s">
        <v>902</v>
      </c>
      <c r="F52" s="100" t="s">
        <v>1152</v>
      </c>
      <c r="G52" s="103" t="s">
        <v>1134</v>
      </c>
      <c r="H52" s="101"/>
      <c r="I52" s="102" t="s">
        <v>275</v>
      </c>
      <c r="J52" s="102">
        <v>8</v>
      </c>
      <c r="K52" s="99" t="s">
        <v>709</v>
      </c>
      <c r="L52" s="99" t="s">
        <v>840</v>
      </c>
      <c r="M52" s="99" t="s">
        <v>1023</v>
      </c>
      <c r="N52" s="102"/>
      <c r="O52" s="102" t="s">
        <v>1060</v>
      </c>
      <c r="P52" s="102" t="s">
        <v>583</v>
      </c>
      <c r="Q52" s="103" t="s">
        <v>1081</v>
      </c>
      <c r="R52" s="103" t="s">
        <v>414</v>
      </c>
      <c r="S52" s="97" t="s">
        <v>1138</v>
      </c>
    </row>
    <row r="53" spans="1:19" ht="39" customHeight="1">
      <c r="A53" s="97" t="s">
        <v>1071</v>
      </c>
      <c r="B53" s="98" t="s">
        <v>1072</v>
      </c>
      <c r="C53" s="99" t="s">
        <v>710</v>
      </c>
      <c r="D53" s="99" t="s">
        <v>841</v>
      </c>
      <c r="E53" s="99" t="s">
        <v>903</v>
      </c>
      <c r="F53" s="100" t="s">
        <v>1127</v>
      </c>
      <c r="G53" s="103" t="s">
        <v>1134</v>
      </c>
      <c r="H53" s="101"/>
      <c r="I53" s="102" t="s">
        <v>275</v>
      </c>
      <c r="J53" s="102">
        <v>9</v>
      </c>
      <c r="K53" s="99" t="s">
        <v>710</v>
      </c>
      <c r="L53" s="99" t="s">
        <v>841</v>
      </c>
      <c r="M53" s="99" t="s">
        <v>1024</v>
      </c>
      <c r="N53" s="102"/>
      <c r="O53" s="102" t="s">
        <v>1060</v>
      </c>
      <c r="P53" s="102" t="s">
        <v>583</v>
      </c>
      <c r="Q53" s="103" t="s">
        <v>1081</v>
      </c>
      <c r="R53" s="103" t="s">
        <v>414</v>
      </c>
      <c r="S53" s="97" t="s">
        <v>1137</v>
      </c>
    </row>
    <row r="54" spans="1:19" ht="39" customHeight="1">
      <c r="A54" s="97" t="s">
        <v>1071</v>
      </c>
      <c r="B54" s="98" t="s">
        <v>1072</v>
      </c>
      <c r="C54" s="99" t="s">
        <v>711</v>
      </c>
      <c r="D54" s="99" t="s">
        <v>842</v>
      </c>
      <c r="E54" s="99" t="s">
        <v>903</v>
      </c>
      <c r="F54" s="100" t="s">
        <v>1128</v>
      </c>
      <c r="G54" s="103" t="s">
        <v>1134</v>
      </c>
      <c r="H54" s="101"/>
      <c r="I54" s="102" t="s">
        <v>275</v>
      </c>
      <c r="J54" s="102">
        <v>9</v>
      </c>
      <c r="K54" s="99" t="s">
        <v>711</v>
      </c>
      <c r="L54" s="99" t="s">
        <v>842</v>
      </c>
      <c r="M54" s="99" t="s">
        <v>1025</v>
      </c>
      <c r="N54" s="102"/>
      <c r="O54" s="102" t="s">
        <v>1060</v>
      </c>
      <c r="P54" s="102" t="s">
        <v>583</v>
      </c>
      <c r="Q54" s="103" t="s">
        <v>1081</v>
      </c>
      <c r="R54" s="103" t="s">
        <v>414</v>
      </c>
      <c r="S54" s="97" t="s">
        <v>1137</v>
      </c>
    </row>
    <row r="55" spans="1:19" ht="39" customHeight="1">
      <c r="A55" s="97" t="s">
        <v>1071</v>
      </c>
      <c r="B55" s="98" t="s">
        <v>1072</v>
      </c>
      <c r="C55" s="99" t="s">
        <v>712</v>
      </c>
      <c r="D55" s="99" t="s">
        <v>843</v>
      </c>
      <c r="E55" s="99" t="s">
        <v>903</v>
      </c>
      <c r="F55" s="100" t="s">
        <v>1129</v>
      </c>
      <c r="G55" s="103" t="s">
        <v>1134</v>
      </c>
      <c r="H55" s="101"/>
      <c r="I55" s="102" t="s">
        <v>275</v>
      </c>
      <c r="J55" s="102">
        <v>9</v>
      </c>
      <c r="K55" s="99" t="s">
        <v>712</v>
      </c>
      <c r="L55" s="99" t="s">
        <v>843</v>
      </c>
      <c r="M55" s="99" t="s">
        <v>1026</v>
      </c>
      <c r="N55" s="102"/>
      <c r="O55" s="102" t="s">
        <v>1060</v>
      </c>
      <c r="P55" s="102" t="s">
        <v>583</v>
      </c>
      <c r="Q55" s="103" t="s">
        <v>1081</v>
      </c>
      <c r="R55" s="103" t="s">
        <v>414</v>
      </c>
      <c r="S55" s="97" t="s">
        <v>1137</v>
      </c>
    </row>
    <row r="56" spans="1:19" ht="39" customHeight="1">
      <c r="A56" s="97" t="s">
        <v>1071</v>
      </c>
      <c r="B56" s="98" t="s">
        <v>1072</v>
      </c>
      <c r="C56" s="99" t="s">
        <v>713</v>
      </c>
      <c r="D56" s="99" t="s">
        <v>844</v>
      </c>
      <c r="E56" s="99" t="s">
        <v>903</v>
      </c>
      <c r="F56" s="100" t="s">
        <v>1127</v>
      </c>
      <c r="G56" s="103" t="s">
        <v>1134</v>
      </c>
      <c r="H56" s="101"/>
      <c r="I56" s="102" t="s">
        <v>275</v>
      </c>
      <c r="J56" s="102">
        <v>9</v>
      </c>
      <c r="K56" s="99" t="s">
        <v>713</v>
      </c>
      <c r="L56" s="99" t="s">
        <v>844</v>
      </c>
      <c r="M56" s="99" t="s">
        <v>1027</v>
      </c>
      <c r="N56" s="102"/>
      <c r="O56" s="102" t="s">
        <v>1060</v>
      </c>
      <c r="P56" s="102" t="s">
        <v>583</v>
      </c>
      <c r="Q56" s="103" t="s">
        <v>1081</v>
      </c>
      <c r="R56" s="103" t="s">
        <v>414</v>
      </c>
      <c r="S56" s="97" t="s">
        <v>1138</v>
      </c>
    </row>
    <row r="57" spans="1:19" ht="39" customHeight="1">
      <c r="A57" s="97" t="s">
        <v>1071</v>
      </c>
      <c r="B57" s="98" t="s">
        <v>1072</v>
      </c>
      <c r="C57" s="99" t="s">
        <v>714</v>
      </c>
      <c r="D57" s="99" t="s">
        <v>845</v>
      </c>
      <c r="E57" s="99" t="s">
        <v>903</v>
      </c>
      <c r="F57" s="100" t="s">
        <v>1128</v>
      </c>
      <c r="G57" s="103" t="s">
        <v>1134</v>
      </c>
      <c r="H57" s="101"/>
      <c r="I57" s="102" t="s">
        <v>275</v>
      </c>
      <c r="J57" s="102">
        <v>9</v>
      </c>
      <c r="K57" s="99" t="s">
        <v>714</v>
      </c>
      <c r="L57" s="99" t="s">
        <v>845</v>
      </c>
      <c r="M57" s="99" t="s">
        <v>1028</v>
      </c>
      <c r="N57" s="102"/>
      <c r="O57" s="102" t="s">
        <v>1060</v>
      </c>
      <c r="P57" s="102" t="s">
        <v>583</v>
      </c>
      <c r="Q57" s="103" t="s">
        <v>1081</v>
      </c>
      <c r="R57" s="103" t="s">
        <v>414</v>
      </c>
      <c r="S57" s="97" t="s">
        <v>1138</v>
      </c>
    </row>
    <row r="58" spans="1:19" ht="39" customHeight="1">
      <c r="A58" s="97" t="s">
        <v>1071</v>
      </c>
      <c r="B58" s="98" t="s">
        <v>1072</v>
      </c>
      <c r="C58" s="99" t="s">
        <v>715</v>
      </c>
      <c r="D58" s="99" t="s">
        <v>846</v>
      </c>
      <c r="E58" s="99" t="s">
        <v>903</v>
      </c>
      <c r="F58" s="100" t="s">
        <v>1129</v>
      </c>
      <c r="G58" s="103" t="s">
        <v>1134</v>
      </c>
      <c r="H58" s="101"/>
      <c r="I58" s="102" t="s">
        <v>275</v>
      </c>
      <c r="J58" s="102">
        <v>9</v>
      </c>
      <c r="K58" s="99" t="s">
        <v>715</v>
      </c>
      <c r="L58" s="99" t="s">
        <v>846</v>
      </c>
      <c r="M58" s="99" t="s">
        <v>1029</v>
      </c>
      <c r="N58" s="102"/>
      <c r="O58" s="102" t="s">
        <v>1060</v>
      </c>
      <c r="P58" s="102" t="s">
        <v>583</v>
      </c>
      <c r="Q58" s="103" t="s">
        <v>1081</v>
      </c>
      <c r="R58" s="103" t="s">
        <v>414</v>
      </c>
      <c r="S58" s="97" t="s">
        <v>1138</v>
      </c>
    </row>
    <row r="59" spans="1:19" ht="39" customHeight="1">
      <c r="A59" s="97" t="s">
        <v>1071</v>
      </c>
      <c r="B59" s="98" t="s">
        <v>1072</v>
      </c>
      <c r="C59" s="99" t="s">
        <v>716</v>
      </c>
      <c r="D59" s="99" t="s">
        <v>847</v>
      </c>
      <c r="E59" s="99" t="s">
        <v>904</v>
      </c>
      <c r="F59" s="100" t="s">
        <v>1127</v>
      </c>
      <c r="G59" s="103" t="s">
        <v>1134</v>
      </c>
      <c r="H59" s="101"/>
      <c r="I59" s="102" t="s">
        <v>275</v>
      </c>
      <c r="J59" s="102">
        <v>9</v>
      </c>
      <c r="K59" s="99" t="s">
        <v>716</v>
      </c>
      <c r="L59" s="99" t="s">
        <v>847</v>
      </c>
      <c r="M59" s="99" t="s">
        <v>1030</v>
      </c>
      <c r="N59" s="102"/>
      <c r="O59" s="102" t="s">
        <v>1060</v>
      </c>
      <c r="P59" s="102" t="s">
        <v>583</v>
      </c>
      <c r="Q59" s="103" t="s">
        <v>1081</v>
      </c>
      <c r="R59" s="103" t="s">
        <v>414</v>
      </c>
      <c r="S59" s="97" t="s">
        <v>1137</v>
      </c>
    </row>
    <row r="60" spans="1:19" ht="39" customHeight="1">
      <c r="A60" s="97" t="s">
        <v>1071</v>
      </c>
      <c r="B60" s="98" t="s">
        <v>1072</v>
      </c>
      <c r="C60" s="99" t="s">
        <v>717</v>
      </c>
      <c r="D60" s="99" t="s">
        <v>848</v>
      </c>
      <c r="E60" s="99" t="s">
        <v>904</v>
      </c>
      <c r="F60" s="100" t="s">
        <v>1128</v>
      </c>
      <c r="G60" s="103" t="s">
        <v>1134</v>
      </c>
      <c r="H60" s="101"/>
      <c r="I60" s="102" t="s">
        <v>275</v>
      </c>
      <c r="J60" s="102">
        <v>9</v>
      </c>
      <c r="K60" s="99" t="s">
        <v>717</v>
      </c>
      <c r="L60" s="99" t="s">
        <v>848</v>
      </c>
      <c r="M60" s="99" t="s">
        <v>1031</v>
      </c>
      <c r="N60" s="102"/>
      <c r="O60" s="102" t="s">
        <v>1060</v>
      </c>
      <c r="P60" s="102" t="s">
        <v>583</v>
      </c>
      <c r="Q60" s="103" t="s">
        <v>1081</v>
      </c>
      <c r="R60" s="103" t="s">
        <v>414</v>
      </c>
      <c r="S60" s="97" t="s">
        <v>1137</v>
      </c>
    </row>
    <row r="61" spans="1:19" ht="39" customHeight="1">
      <c r="A61" s="97" t="s">
        <v>1071</v>
      </c>
      <c r="B61" s="98" t="s">
        <v>1072</v>
      </c>
      <c r="C61" s="99" t="s">
        <v>718</v>
      </c>
      <c r="D61" s="99" t="s">
        <v>849</v>
      </c>
      <c r="E61" s="99" t="s">
        <v>904</v>
      </c>
      <c r="F61" s="100" t="s">
        <v>1129</v>
      </c>
      <c r="G61" s="103" t="s">
        <v>1134</v>
      </c>
      <c r="H61" s="101"/>
      <c r="I61" s="102" t="s">
        <v>275</v>
      </c>
      <c r="J61" s="102">
        <v>9</v>
      </c>
      <c r="K61" s="99" t="s">
        <v>718</v>
      </c>
      <c r="L61" s="99" t="s">
        <v>849</v>
      </c>
      <c r="M61" s="99" t="s">
        <v>1032</v>
      </c>
      <c r="N61" s="102"/>
      <c r="O61" s="102" t="s">
        <v>1060</v>
      </c>
      <c r="P61" s="102" t="s">
        <v>583</v>
      </c>
      <c r="Q61" s="103" t="s">
        <v>1081</v>
      </c>
      <c r="R61" s="103" t="s">
        <v>414</v>
      </c>
      <c r="S61" s="97" t="s">
        <v>1137</v>
      </c>
    </row>
    <row r="62" spans="1:19" ht="39" customHeight="1">
      <c r="A62" s="97" t="s">
        <v>1071</v>
      </c>
      <c r="B62" s="98" t="s">
        <v>1072</v>
      </c>
      <c r="C62" s="99" t="s">
        <v>719</v>
      </c>
      <c r="D62" s="99" t="s">
        <v>850</v>
      </c>
      <c r="E62" s="99" t="s">
        <v>904</v>
      </c>
      <c r="F62" s="100" t="s">
        <v>1127</v>
      </c>
      <c r="G62" s="103" t="s">
        <v>1134</v>
      </c>
      <c r="H62" s="101"/>
      <c r="I62" s="102" t="s">
        <v>275</v>
      </c>
      <c r="J62" s="102">
        <v>9</v>
      </c>
      <c r="K62" s="99" t="s">
        <v>719</v>
      </c>
      <c r="L62" s="99" t="s">
        <v>850</v>
      </c>
      <c r="M62" s="99" t="s">
        <v>1033</v>
      </c>
      <c r="N62" s="102"/>
      <c r="O62" s="102" t="s">
        <v>1060</v>
      </c>
      <c r="P62" s="102" t="s">
        <v>583</v>
      </c>
      <c r="Q62" s="103" t="s">
        <v>1081</v>
      </c>
      <c r="R62" s="103" t="s">
        <v>414</v>
      </c>
      <c r="S62" s="97" t="s">
        <v>1138</v>
      </c>
    </row>
    <row r="63" spans="1:19" ht="39" customHeight="1">
      <c r="A63" s="97" t="s">
        <v>1071</v>
      </c>
      <c r="B63" s="98" t="s">
        <v>1072</v>
      </c>
      <c r="C63" s="99" t="s">
        <v>720</v>
      </c>
      <c r="D63" s="99" t="s">
        <v>851</v>
      </c>
      <c r="E63" s="99" t="s">
        <v>904</v>
      </c>
      <c r="F63" s="100" t="s">
        <v>1128</v>
      </c>
      <c r="G63" s="103" t="s">
        <v>1134</v>
      </c>
      <c r="H63" s="101"/>
      <c r="I63" s="102" t="s">
        <v>275</v>
      </c>
      <c r="J63" s="102">
        <v>9</v>
      </c>
      <c r="K63" s="99" t="s">
        <v>720</v>
      </c>
      <c r="L63" s="99" t="s">
        <v>851</v>
      </c>
      <c r="M63" s="99" t="s">
        <v>1034</v>
      </c>
      <c r="N63" s="102"/>
      <c r="O63" s="102" t="s">
        <v>1060</v>
      </c>
      <c r="P63" s="102" t="s">
        <v>583</v>
      </c>
      <c r="Q63" s="103" t="s">
        <v>1081</v>
      </c>
      <c r="R63" s="103" t="s">
        <v>414</v>
      </c>
      <c r="S63" s="97" t="s">
        <v>1138</v>
      </c>
    </row>
    <row r="64" spans="1:19" ht="26.25" customHeight="1">
      <c r="A64" s="97" t="s">
        <v>1071</v>
      </c>
      <c r="B64" s="98" t="s">
        <v>1072</v>
      </c>
      <c r="C64" s="99" t="s">
        <v>721</v>
      </c>
      <c r="D64" s="99" t="s">
        <v>852</v>
      </c>
      <c r="E64" s="99" t="s">
        <v>904</v>
      </c>
      <c r="F64" s="100" t="s">
        <v>1129</v>
      </c>
      <c r="G64" s="103" t="s">
        <v>1134</v>
      </c>
      <c r="H64" s="101"/>
      <c r="I64" s="102" t="s">
        <v>275</v>
      </c>
      <c r="J64" s="102">
        <v>9</v>
      </c>
      <c r="K64" s="99" t="s">
        <v>721</v>
      </c>
      <c r="L64" s="99" t="s">
        <v>852</v>
      </c>
      <c r="M64" s="99" t="s">
        <v>1035</v>
      </c>
      <c r="N64" s="102"/>
      <c r="O64" s="102" t="s">
        <v>1060</v>
      </c>
      <c r="P64" s="102" t="s">
        <v>583</v>
      </c>
      <c r="Q64" s="103" t="s">
        <v>1081</v>
      </c>
      <c r="R64" s="103" t="s">
        <v>414</v>
      </c>
      <c r="S64" s="97" t="s">
        <v>1138</v>
      </c>
    </row>
    <row r="65" spans="1:19" ht="26.25" customHeight="1">
      <c r="A65" s="97" t="s">
        <v>1071</v>
      </c>
      <c r="B65" s="98" t="s">
        <v>1072</v>
      </c>
      <c r="C65" s="99" t="s">
        <v>722</v>
      </c>
      <c r="D65" s="99" t="s">
        <v>853</v>
      </c>
      <c r="E65" s="99" t="s">
        <v>905</v>
      </c>
      <c r="F65" s="100" t="s">
        <v>1130</v>
      </c>
      <c r="G65" s="103" t="s">
        <v>1134</v>
      </c>
      <c r="H65" s="101"/>
      <c r="I65" s="102" t="s">
        <v>275</v>
      </c>
      <c r="J65" s="102">
        <v>10</v>
      </c>
      <c r="K65" s="99" t="s">
        <v>722</v>
      </c>
      <c r="L65" s="99" t="s">
        <v>853</v>
      </c>
      <c r="M65" s="99" t="s">
        <v>1036</v>
      </c>
      <c r="N65" s="102"/>
      <c r="O65" s="102" t="s">
        <v>1060</v>
      </c>
      <c r="P65" s="102" t="s">
        <v>583</v>
      </c>
      <c r="Q65" s="103" t="s">
        <v>1081</v>
      </c>
      <c r="R65" s="103" t="s">
        <v>414</v>
      </c>
      <c r="S65" s="97" t="s">
        <v>1137</v>
      </c>
    </row>
    <row r="66" spans="1:19" ht="26.25" customHeight="1">
      <c r="A66" s="97" t="s">
        <v>1071</v>
      </c>
      <c r="B66" s="98" t="s">
        <v>1072</v>
      </c>
      <c r="C66" s="99" t="s">
        <v>723</v>
      </c>
      <c r="D66" s="99" t="s">
        <v>854</v>
      </c>
      <c r="E66" s="99" t="s">
        <v>905</v>
      </c>
      <c r="F66" s="100" t="s">
        <v>1131</v>
      </c>
      <c r="G66" s="103" t="s">
        <v>1134</v>
      </c>
      <c r="H66" s="101"/>
      <c r="I66" s="102" t="s">
        <v>275</v>
      </c>
      <c r="J66" s="102">
        <v>10</v>
      </c>
      <c r="K66" s="99" t="s">
        <v>723</v>
      </c>
      <c r="L66" s="99" t="s">
        <v>854</v>
      </c>
      <c r="M66" s="99" t="s">
        <v>1037</v>
      </c>
      <c r="N66" s="102"/>
      <c r="O66" s="102" t="s">
        <v>1060</v>
      </c>
      <c r="P66" s="102" t="s">
        <v>583</v>
      </c>
      <c r="Q66" s="103" t="s">
        <v>1081</v>
      </c>
      <c r="R66" s="103" t="s">
        <v>414</v>
      </c>
      <c r="S66" s="97" t="s">
        <v>1137</v>
      </c>
    </row>
    <row r="67" spans="1:19" ht="26.25" customHeight="1">
      <c r="A67" s="97" t="s">
        <v>1071</v>
      </c>
      <c r="B67" s="98" t="s">
        <v>1072</v>
      </c>
      <c r="C67" s="99" t="s">
        <v>724</v>
      </c>
      <c r="D67" s="99" t="s">
        <v>855</v>
      </c>
      <c r="E67" s="99" t="s">
        <v>905</v>
      </c>
      <c r="F67" s="100" t="s">
        <v>1132</v>
      </c>
      <c r="G67" s="103" t="s">
        <v>1134</v>
      </c>
      <c r="H67" s="101"/>
      <c r="I67" s="102" t="s">
        <v>275</v>
      </c>
      <c r="J67" s="102">
        <v>10</v>
      </c>
      <c r="K67" s="99" t="s">
        <v>724</v>
      </c>
      <c r="L67" s="99" t="s">
        <v>855</v>
      </c>
      <c r="M67" s="99" t="s">
        <v>1038</v>
      </c>
      <c r="N67" s="102"/>
      <c r="O67" s="102" t="s">
        <v>1060</v>
      </c>
      <c r="P67" s="102" t="s">
        <v>583</v>
      </c>
      <c r="Q67" s="103" t="s">
        <v>1081</v>
      </c>
      <c r="R67" s="103" t="s">
        <v>414</v>
      </c>
      <c r="S67" s="97" t="s">
        <v>1137</v>
      </c>
    </row>
    <row r="68" spans="1:19" ht="26.25" customHeight="1">
      <c r="A68" s="97" t="s">
        <v>1071</v>
      </c>
      <c r="B68" s="98" t="s">
        <v>1072</v>
      </c>
      <c r="C68" s="99" t="s">
        <v>725</v>
      </c>
      <c r="D68" s="99" t="s">
        <v>856</v>
      </c>
      <c r="E68" s="99" t="s">
        <v>905</v>
      </c>
      <c r="F68" s="100" t="s">
        <v>1130</v>
      </c>
      <c r="G68" s="103" t="s">
        <v>1134</v>
      </c>
      <c r="H68" s="101"/>
      <c r="I68" s="102" t="s">
        <v>275</v>
      </c>
      <c r="J68" s="102">
        <v>10</v>
      </c>
      <c r="K68" s="99" t="s">
        <v>725</v>
      </c>
      <c r="L68" s="99" t="s">
        <v>856</v>
      </c>
      <c r="M68" s="99" t="s">
        <v>1039</v>
      </c>
      <c r="N68" s="102"/>
      <c r="O68" s="102" t="s">
        <v>1060</v>
      </c>
      <c r="P68" s="102" t="s">
        <v>583</v>
      </c>
      <c r="Q68" s="103" t="s">
        <v>1081</v>
      </c>
      <c r="R68" s="103" t="s">
        <v>414</v>
      </c>
      <c r="S68" s="97" t="s">
        <v>1138</v>
      </c>
    </row>
    <row r="69" spans="1:19" ht="26.25" customHeight="1">
      <c r="A69" s="97" t="s">
        <v>1071</v>
      </c>
      <c r="B69" s="98" t="s">
        <v>1072</v>
      </c>
      <c r="C69" s="99" t="s">
        <v>726</v>
      </c>
      <c r="D69" s="99" t="s">
        <v>857</v>
      </c>
      <c r="E69" s="99" t="s">
        <v>905</v>
      </c>
      <c r="F69" s="100" t="s">
        <v>1131</v>
      </c>
      <c r="G69" s="103" t="s">
        <v>1134</v>
      </c>
      <c r="H69" s="101"/>
      <c r="I69" s="102" t="s">
        <v>275</v>
      </c>
      <c r="J69" s="102">
        <v>10</v>
      </c>
      <c r="K69" s="99" t="s">
        <v>726</v>
      </c>
      <c r="L69" s="99" t="s">
        <v>857</v>
      </c>
      <c r="M69" s="99" t="s">
        <v>1040</v>
      </c>
      <c r="N69" s="102"/>
      <c r="O69" s="102" t="s">
        <v>1060</v>
      </c>
      <c r="P69" s="102" t="s">
        <v>583</v>
      </c>
      <c r="Q69" s="103" t="s">
        <v>1081</v>
      </c>
      <c r="R69" s="103" t="s">
        <v>414</v>
      </c>
      <c r="S69" s="97" t="s">
        <v>1138</v>
      </c>
    </row>
    <row r="70" spans="1:19" ht="26.25" customHeight="1">
      <c r="A70" s="97" t="s">
        <v>1071</v>
      </c>
      <c r="B70" s="98" t="s">
        <v>1072</v>
      </c>
      <c r="C70" s="99" t="s">
        <v>727</v>
      </c>
      <c r="D70" s="99" t="s">
        <v>858</v>
      </c>
      <c r="E70" s="99" t="s">
        <v>905</v>
      </c>
      <c r="F70" s="100" t="s">
        <v>1132</v>
      </c>
      <c r="G70" s="103" t="s">
        <v>1134</v>
      </c>
      <c r="H70" s="101"/>
      <c r="I70" s="102" t="s">
        <v>275</v>
      </c>
      <c r="J70" s="102">
        <v>10</v>
      </c>
      <c r="K70" s="99" t="s">
        <v>727</v>
      </c>
      <c r="L70" s="99" t="s">
        <v>858</v>
      </c>
      <c r="M70" s="99" t="s">
        <v>1041</v>
      </c>
      <c r="N70" s="102"/>
      <c r="O70" s="102" t="s">
        <v>1060</v>
      </c>
      <c r="P70" s="102" t="s">
        <v>583</v>
      </c>
      <c r="Q70" s="103" t="s">
        <v>1081</v>
      </c>
      <c r="R70" s="103" t="s">
        <v>414</v>
      </c>
      <c r="S70" s="97" t="s">
        <v>1138</v>
      </c>
    </row>
    <row r="71" spans="1:19" ht="26.25" customHeight="1">
      <c r="A71" s="97" t="s">
        <v>1071</v>
      </c>
      <c r="B71" s="98" t="s">
        <v>1072</v>
      </c>
      <c r="C71" s="99" t="s">
        <v>728</v>
      </c>
      <c r="D71" s="99" t="s">
        <v>859</v>
      </c>
      <c r="E71" s="99" t="s">
        <v>906</v>
      </c>
      <c r="F71" s="100" t="s">
        <v>1130</v>
      </c>
      <c r="G71" s="103" t="s">
        <v>1134</v>
      </c>
      <c r="H71" s="101"/>
      <c r="I71" s="102" t="s">
        <v>275</v>
      </c>
      <c r="J71" s="102">
        <v>10</v>
      </c>
      <c r="K71" s="99" t="s">
        <v>728</v>
      </c>
      <c r="L71" s="99" t="s">
        <v>859</v>
      </c>
      <c r="M71" s="99" t="s">
        <v>1042</v>
      </c>
      <c r="N71" s="102"/>
      <c r="O71" s="102" t="s">
        <v>1060</v>
      </c>
      <c r="P71" s="102" t="s">
        <v>583</v>
      </c>
      <c r="Q71" s="103" t="s">
        <v>1081</v>
      </c>
      <c r="R71" s="103" t="s">
        <v>414</v>
      </c>
      <c r="S71" s="97" t="s">
        <v>1137</v>
      </c>
    </row>
    <row r="72" spans="1:19" ht="26.25" customHeight="1">
      <c r="A72" s="97" t="s">
        <v>1071</v>
      </c>
      <c r="B72" s="98" t="s">
        <v>1072</v>
      </c>
      <c r="C72" s="99" t="s">
        <v>729</v>
      </c>
      <c r="D72" s="99" t="s">
        <v>860</v>
      </c>
      <c r="E72" s="99" t="s">
        <v>906</v>
      </c>
      <c r="F72" s="100" t="s">
        <v>1131</v>
      </c>
      <c r="G72" s="103" t="s">
        <v>1134</v>
      </c>
      <c r="H72" s="101"/>
      <c r="I72" s="102" t="s">
        <v>275</v>
      </c>
      <c r="J72" s="102">
        <v>10</v>
      </c>
      <c r="K72" s="99" t="s">
        <v>729</v>
      </c>
      <c r="L72" s="99" t="s">
        <v>860</v>
      </c>
      <c r="M72" s="99" t="s">
        <v>1043</v>
      </c>
      <c r="N72" s="102"/>
      <c r="O72" s="102" t="s">
        <v>1060</v>
      </c>
      <c r="P72" s="102" t="s">
        <v>583</v>
      </c>
      <c r="Q72" s="103" t="s">
        <v>1081</v>
      </c>
      <c r="R72" s="103" t="s">
        <v>414</v>
      </c>
      <c r="S72" s="97" t="s">
        <v>1137</v>
      </c>
    </row>
    <row r="73" spans="1:19" ht="26.25" customHeight="1">
      <c r="A73" s="97" t="s">
        <v>1071</v>
      </c>
      <c r="B73" s="98" t="s">
        <v>1072</v>
      </c>
      <c r="C73" s="99" t="s">
        <v>730</v>
      </c>
      <c r="D73" s="99" t="s">
        <v>861</v>
      </c>
      <c r="E73" s="99" t="s">
        <v>906</v>
      </c>
      <c r="F73" s="100" t="s">
        <v>1132</v>
      </c>
      <c r="G73" s="103" t="s">
        <v>1134</v>
      </c>
      <c r="H73" s="101"/>
      <c r="I73" s="102" t="s">
        <v>275</v>
      </c>
      <c r="J73" s="102">
        <v>10</v>
      </c>
      <c r="K73" s="99" t="s">
        <v>730</v>
      </c>
      <c r="L73" s="99" t="s">
        <v>861</v>
      </c>
      <c r="M73" s="99" t="s">
        <v>1044</v>
      </c>
      <c r="N73" s="102"/>
      <c r="O73" s="102" t="s">
        <v>1060</v>
      </c>
      <c r="P73" s="102" t="s">
        <v>583</v>
      </c>
      <c r="Q73" s="103" t="s">
        <v>1081</v>
      </c>
      <c r="R73" s="103" t="s">
        <v>414</v>
      </c>
      <c r="S73" s="97" t="s">
        <v>1137</v>
      </c>
    </row>
    <row r="74" spans="1:19" ht="26.25" customHeight="1">
      <c r="A74" s="97" t="s">
        <v>1071</v>
      </c>
      <c r="B74" s="98" t="s">
        <v>1072</v>
      </c>
      <c r="C74" s="99" t="s">
        <v>731</v>
      </c>
      <c r="D74" s="99" t="s">
        <v>862</v>
      </c>
      <c r="E74" s="99" t="s">
        <v>906</v>
      </c>
      <c r="F74" s="100" t="s">
        <v>1130</v>
      </c>
      <c r="G74" s="103" t="s">
        <v>1134</v>
      </c>
      <c r="H74" s="101"/>
      <c r="I74" s="102" t="s">
        <v>275</v>
      </c>
      <c r="J74" s="102">
        <v>10</v>
      </c>
      <c r="K74" s="99" t="s">
        <v>731</v>
      </c>
      <c r="L74" s="99" t="s">
        <v>862</v>
      </c>
      <c r="M74" s="99" t="s">
        <v>1045</v>
      </c>
      <c r="N74" s="102"/>
      <c r="O74" s="102" t="s">
        <v>1060</v>
      </c>
      <c r="P74" s="102" t="s">
        <v>583</v>
      </c>
      <c r="Q74" s="103" t="s">
        <v>1081</v>
      </c>
      <c r="R74" s="103" t="s">
        <v>414</v>
      </c>
      <c r="S74" s="97" t="s">
        <v>1138</v>
      </c>
    </row>
    <row r="75" spans="1:19" ht="26.25" customHeight="1">
      <c r="A75" s="97" t="s">
        <v>1071</v>
      </c>
      <c r="B75" s="98" t="s">
        <v>1072</v>
      </c>
      <c r="C75" s="99" t="s">
        <v>732</v>
      </c>
      <c r="D75" s="99" t="s">
        <v>863</v>
      </c>
      <c r="E75" s="99" t="s">
        <v>906</v>
      </c>
      <c r="F75" s="100" t="s">
        <v>1131</v>
      </c>
      <c r="G75" s="103" t="s">
        <v>1134</v>
      </c>
      <c r="H75" s="101"/>
      <c r="I75" s="102" t="s">
        <v>275</v>
      </c>
      <c r="J75" s="102">
        <v>10</v>
      </c>
      <c r="K75" s="99" t="s">
        <v>732</v>
      </c>
      <c r="L75" s="99" t="s">
        <v>863</v>
      </c>
      <c r="M75" s="99" t="s">
        <v>1046</v>
      </c>
      <c r="N75" s="102"/>
      <c r="O75" s="102" t="s">
        <v>1060</v>
      </c>
      <c r="P75" s="102" t="s">
        <v>583</v>
      </c>
      <c r="Q75" s="103" t="s">
        <v>1081</v>
      </c>
      <c r="R75" s="103" t="s">
        <v>414</v>
      </c>
      <c r="S75" s="97" t="s">
        <v>1138</v>
      </c>
    </row>
    <row r="76" spans="1:19" ht="39" customHeight="1">
      <c r="A76" s="97" t="s">
        <v>1071</v>
      </c>
      <c r="B76" s="98" t="s">
        <v>1072</v>
      </c>
      <c r="C76" s="99" t="s">
        <v>733</v>
      </c>
      <c r="D76" s="99" t="s">
        <v>864</v>
      </c>
      <c r="E76" s="99" t="s">
        <v>906</v>
      </c>
      <c r="F76" s="100" t="s">
        <v>1132</v>
      </c>
      <c r="G76" s="103" t="s">
        <v>1134</v>
      </c>
      <c r="H76" s="101"/>
      <c r="I76" s="102" t="s">
        <v>275</v>
      </c>
      <c r="J76" s="102">
        <v>10</v>
      </c>
      <c r="K76" s="99" t="s">
        <v>733</v>
      </c>
      <c r="L76" s="99" t="s">
        <v>864</v>
      </c>
      <c r="M76" s="99" t="s">
        <v>1047</v>
      </c>
      <c r="N76" s="102"/>
      <c r="O76" s="102" t="s">
        <v>1060</v>
      </c>
      <c r="P76" s="102" t="s">
        <v>583</v>
      </c>
      <c r="Q76" s="103" t="s">
        <v>1081</v>
      </c>
      <c r="R76" s="103" t="s">
        <v>414</v>
      </c>
      <c r="S76" s="97" t="s">
        <v>1138</v>
      </c>
    </row>
    <row r="77" spans="1:19" ht="39" customHeight="1">
      <c r="A77" s="97" t="s">
        <v>1071</v>
      </c>
      <c r="B77" s="98" t="s">
        <v>1072</v>
      </c>
      <c r="C77" s="99" t="s">
        <v>734</v>
      </c>
      <c r="D77" s="99" t="s">
        <v>865</v>
      </c>
      <c r="E77" s="99" t="s">
        <v>897</v>
      </c>
      <c r="F77" s="100" t="s">
        <v>1150</v>
      </c>
      <c r="G77" s="103" t="s">
        <v>1134</v>
      </c>
      <c r="H77" s="101"/>
      <c r="I77" s="102" t="s">
        <v>275</v>
      </c>
      <c r="J77" s="102">
        <v>8</v>
      </c>
      <c r="K77" s="99" t="s">
        <v>734</v>
      </c>
      <c r="L77" s="99" t="s">
        <v>865</v>
      </c>
      <c r="M77" s="99" t="s">
        <v>1048</v>
      </c>
      <c r="N77" s="102"/>
      <c r="O77" s="102" t="s">
        <v>1060</v>
      </c>
      <c r="P77" s="102" t="s">
        <v>583</v>
      </c>
      <c r="Q77" s="103" t="s">
        <v>1081</v>
      </c>
      <c r="R77" s="103" t="s">
        <v>414</v>
      </c>
      <c r="S77" s="97" t="s">
        <v>1137</v>
      </c>
    </row>
    <row r="78" spans="1:19" ht="39" customHeight="1">
      <c r="A78" s="97" t="s">
        <v>1071</v>
      </c>
      <c r="B78" s="98" t="s">
        <v>1072</v>
      </c>
      <c r="C78" s="99" t="s">
        <v>735</v>
      </c>
      <c r="D78" s="99" t="s">
        <v>866</v>
      </c>
      <c r="E78" s="99" t="s">
        <v>897</v>
      </c>
      <c r="F78" s="100" t="s">
        <v>1151</v>
      </c>
      <c r="G78" s="103" t="s">
        <v>1134</v>
      </c>
      <c r="H78" s="101"/>
      <c r="I78" s="102" t="s">
        <v>275</v>
      </c>
      <c r="J78" s="102">
        <v>8</v>
      </c>
      <c r="K78" s="99" t="s">
        <v>735</v>
      </c>
      <c r="L78" s="99" t="s">
        <v>866</v>
      </c>
      <c r="M78" s="99" t="s">
        <v>1049</v>
      </c>
      <c r="N78" s="102"/>
      <c r="O78" s="102" t="s">
        <v>1060</v>
      </c>
      <c r="P78" s="102" t="s">
        <v>583</v>
      </c>
      <c r="Q78" s="103" t="s">
        <v>1081</v>
      </c>
      <c r="R78" s="103" t="s">
        <v>414</v>
      </c>
      <c r="S78" s="97" t="s">
        <v>1137</v>
      </c>
    </row>
    <row r="79" spans="1:19" ht="39" customHeight="1">
      <c r="A79" s="97" t="s">
        <v>1071</v>
      </c>
      <c r="B79" s="98" t="s">
        <v>1072</v>
      </c>
      <c r="C79" s="99" t="s">
        <v>736</v>
      </c>
      <c r="D79" s="99" t="s">
        <v>867</v>
      </c>
      <c r="E79" s="99" t="s">
        <v>897</v>
      </c>
      <c r="F79" s="100" t="s">
        <v>1152</v>
      </c>
      <c r="G79" s="103" t="s">
        <v>1134</v>
      </c>
      <c r="H79" s="101"/>
      <c r="I79" s="102" t="s">
        <v>275</v>
      </c>
      <c r="J79" s="102">
        <v>8</v>
      </c>
      <c r="K79" s="99" t="s">
        <v>736</v>
      </c>
      <c r="L79" s="99" t="s">
        <v>867</v>
      </c>
      <c r="M79" s="99" t="s">
        <v>1050</v>
      </c>
      <c r="N79" s="102"/>
      <c r="O79" s="102" t="s">
        <v>1060</v>
      </c>
      <c r="P79" s="102" t="s">
        <v>583</v>
      </c>
      <c r="Q79" s="103" t="s">
        <v>1081</v>
      </c>
      <c r="R79" s="103" t="s">
        <v>414</v>
      </c>
      <c r="S79" s="97" t="s">
        <v>1137</v>
      </c>
    </row>
    <row r="80" spans="1:19" ht="39" customHeight="1">
      <c r="A80" s="97" t="s">
        <v>1071</v>
      </c>
      <c r="B80" s="98" t="s">
        <v>1072</v>
      </c>
      <c r="C80" s="99" t="s">
        <v>739</v>
      </c>
      <c r="D80" s="99" t="s">
        <v>870</v>
      </c>
      <c r="E80" s="99" t="s">
        <v>906</v>
      </c>
      <c r="F80" s="100" t="s">
        <v>1130</v>
      </c>
      <c r="G80" s="103" t="s">
        <v>1134</v>
      </c>
      <c r="H80" s="101"/>
      <c r="I80" s="102" t="s">
        <v>275</v>
      </c>
      <c r="J80" s="102">
        <v>10</v>
      </c>
      <c r="K80" s="99" t="s">
        <v>739</v>
      </c>
      <c r="L80" s="99" t="s">
        <v>870</v>
      </c>
      <c r="M80" s="99" t="s">
        <v>1056</v>
      </c>
      <c r="N80" s="102"/>
      <c r="O80" s="102">
        <v>4850</v>
      </c>
      <c r="P80" s="102" t="s">
        <v>583</v>
      </c>
      <c r="Q80" s="103" t="s">
        <v>1081</v>
      </c>
      <c r="R80" s="103" t="s">
        <v>414</v>
      </c>
      <c r="S80" s="97" t="s">
        <v>1138</v>
      </c>
    </row>
    <row r="81" spans="1:19" ht="39" customHeight="1">
      <c r="A81" s="112" t="s">
        <v>1063</v>
      </c>
      <c r="B81" s="113" t="s">
        <v>1064</v>
      </c>
      <c r="C81" s="114" t="s">
        <v>610</v>
      </c>
      <c r="D81" s="114" t="s">
        <v>741</v>
      </c>
      <c r="E81" s="114" t="s">
        <v>872</v>
      </c>
      <c r="F81" s="115" t="s">
        <v>1156</v>
      </c>
      <c r="G81" s="116" t="s">
        <v>1134</v>
      </c>
      <c r="H81" s="117"/>
      <c r="I81" s="118" t="s">
        <v>277</v>
      </c>
      <c r="J81" s="118">
        <v>11</v>
      </c>
      <c r="K81" s="114" t="s">
        <v>610</v>
      </c>
      <c r="L81" s="114" t="s">
        <v>741</v>
      </c>
      <c r="M81" s="114" t="s">
        <v>923</v>
      </c>
      <c r="N81" s="118">
        <v>2878561</v>
      </c>
      <c r="O81" s="118">
        <v>4850</v>
      </c>
      <c r="P81" s="118" t="s">
        <v>583</v>
      </c>
      <c r="Q81" s="119" t="s">
        <v>1081</v>
      </c>
      <c r="R81" s="116" t="s">
        <v>414</v>
      </c>
      <c r="S81" s="118" t="s">
        <v>1136</v>
      </c>
    </row>
    <row r="82" spans="1:19" ht="39" customHeight="1">
      <c r="A82" s="120" t="s">
        <v>1063</v>
      </c>
      <c r="B82" s="121" t="s">
        <v>1064</v>
      </c>
      <c r="C82" s="122" t="s">
        <v>612</v>
      </c>
      <c r="D82" s="122" t="s">
        <v>1059</v>
      </c>
      <c r="E82" s="122" t="s">
        <v>874</v>
      </c>
      <c r="F82" s="123" t="s">
        <v>1157</v>
      </c>
      <c r="G82" s="116" t="s">
        <v>1134</v>
      </c>
      <c r="H82" s="121"/>
      <c r="I82" s="120" t="s">
        <v>277</v>
      </c>
      <c r="J82" s="118"/>
      <c r="K82" s="122" t="s">
        <v>612</v>
      </c>
      <c r="L82" s="122" t="s">
        <v>1059</v>
      </c>
      <c r="M82" s="122"/>
      <c r="N82" s="118">
        <v>2878486</v>
      </c>
      <c r="O82" s="124">
        <v>4850</v>
      </c>
      <c r="P82" s="124"/>
      <c r="Q82" s="125" t="s">
        <v>1081</v>
      </c>
      <c r="R82" s="116" t="s">
        <v>414</v>
      </c>
      <c r="S82" s="118" t="s">
        <v>1135</v>
      </c>
    </row>
    <row r="83" spans="1:19" ht="39" customHeight="1">
      <c r="A83" s="120" t="s">
        <v>1063</v>
      </c>
      <c r="B83" s="121" t="s">
        <v>1064</v>
      </c>
      <c r="C83" s="122" t="s">
        <v>612</v>
      </c>
      <c r="D83" s="122" t="s">
        <v>756</v>
      </c>
      <c r="E83" s="122" t="s">
        <v>874</v>
      </c>
      <c r="F83" s="123" t="s">
        <v>1157</v>
      </c>
      <c r="G83" s="116" t="s">
        <v>1134</v>
      </c>
      <c r="H83" s="121"/>
      <c r="I83" s="120" t="s">
        <v>277</v>
      </c>
      <c r="J83" s="118"/>
      <c r="K83" s="122" t="s">
        <v>612</v>
      </c>
      <c r="L83" s="122" t="s">
        <v>756</v>
      </c>
      <c r="M83" s="122"/>
      <c r="N83" s="118">
        <v>2878562</v>
      </c>
      <c r="O83" s="124">
        <v>4850</v>
      </c>
      <c r="P83" s="124"/>
      <c r="Q83" s="125" t="s">
        <v>1081</v>
      </c>
      <c r="R83" s="116" t="s">
        <v>414</v>
      </c>
      <c r="S83" s="118" t="s">
        <v>1135</v>
      </c>
    </row>
    <row r="84" spans="1:19" ht="39" customHeight="1">
      <c r="A84" s="112" t="s">
        <v>1063</v>
      </c>
      <c r="B84" s="113" t="s">
        <v>1064</v>
      </c>
      <c r="C84" s="114" t="s">
        <v>612</v>
      </c>
      <c r="D84" s="114" t="s">
        <v>743</v>
      </c>
      <c r="E84" s="114" t="s">
        <v>874</v>
      </c>
      <c r="F84" s="115" t="s">
        <v>1157</v>
      </c>
      <c r="G84" s="116" t="s">
        <v>1134</v>
      </c>
      <c r="H84" s="117"/>
      <c r="I84" s="118" t="s">
        <v>277</v>
      </c>
      <c r="J84" s="118">
        <v>12</v>
      </c>
      <c r="K84" s="114" t="s">
        <v>612</v>
      </c>
      <c r="L84" s="114" t="s">
        <v>743</v>
      </c>
      <c r="M84" s="114" t="s">
        <v>925</v>
      </c>
      <c r="N84" s="118">
        <v>2878647</v>
      </c>
      <c r="O84" s="118">
        <v>4850</v>
      </c>
      <c r="P84" s="118" t="s">
        <v>583</v>
      </c>
      <c r="Q84" s="119" t="s">
        <v>1081</v>
      </c>
      <c r="R84" s="116" t="s">
        <v>414</v>
      </c>
      <c r="S84" s="118" t="s">
        <v>1136</v>
      </c>
    </row>
    <row r="85" spans="1:19" ht="39" customHeight="1">
      <c r="A85" s="112" t="s">
        <v>1063</v>
      </c>
      <c r="B85" s="113" t="s">
        <v>1064</v>
      </c>
      <c r="C85" s="114" t="s">
        <v>615</v>
      </c>
      <c r="D85" s="114" t="s">
        <v>746</v>
      </c>
      <c r="E85" s="114" t="s">
        <v>872</v>
      </c>
      <c r="F85" s="115" t="s">
        <v>1156</v>
      </c>
      <c r="G85" s="116" t="s">
        <v>1134</v>
      </c>
      <c r="H85" s="117"/>
      <c r="I85" s="118" t="s">
        <v>275</v>
      </c>
      <c r="J85" s="118">
        <v>11</v>
      </c>
      <c r="K85" s="114" t="s">
        <v>615</v>
      </c>
      <c r="L85" s="114" t="s">
        <v>746</v>
      </c>
      <c r="M85" s="114" t="s">
        <v>928</v>
      </c>
      <c r="N85" s="118"/>
      <c r="O85" s="118" t="s">
        <v>1060</v>
      </c>
      <c r="P85" s="118" t="s">
        <v>583</v>
      </c>
      <c r="Q85" s="119" t="s">
        <v>1081</v>
      </c>
      <c r="R85" s="116" t="s">
        <v>414</v>
      </c>
      <c r="S85" s="118" t="s">
        <v>1135</v>
      </c>
    </row>
    <row r="86" spans="1:19" ht="39" customHeight="1">
      <c r="A86" s="112" t="s">
        <v>1063</v>
      </c>
      <c r="B86" s="113" t="s">
        <v>1064</v>
      </c>
      <c r="C86" s="114" t="s">
        <v>616</v>
      </c>
      <c r="D86" s="114" t="s">
        <v>747</v>
      </c>
      <c r="E86" s="114" t="s">
        <v>874</v>
      </c>
      <c r="F86" s="115" t="s">
        <v>1157</v>
      </c>
      <c r="G86" s="116" t="s">
        <v>1134</v>
      </c>
      <c r="H86" s="117"/>
      <c r="I86" s="118" t="s">
        <v>275</v>
      </c>
      <c r="J86" s="118">
        <v>12</v>
      </c>
      <c r="K86" s="114" t="s">
        <v>616</v>
      </c>
      <c r="L86" s="114" t="s">
        <v>747</v>
      </c>
      <c r="M86" s="114" t="s">
        <v>929</v>
      </c>
      <c r="N86" s="118"/>
      <c r="O86" s="118" t="s">
        <v>1060</v>
      </c>
      <c r="P86" s="118" t="s">
        <v>583</v>
      </c>
      <c r="Q86" s="119" t="s">
        <v>1081</v>
      </c>
      <c r="R86" s="116" t="s">
        <v>414</v>
      </c>
      <c r="S86" s="118" t="s">
        <v>1135</v>
      </c>
    </row>
    <row r="87" spans="1:19" ht="39" customHeight="1">
      <c r="A87" s="112" t="s">
        <v>1063</v>
      </c>
      <c r="B87" s="113" t="s">
        <v>1064</v>
      </c>
      <c r="C87" s="114" t="s">
        <v>617</v>
      </c>
      <c r="D87" s="114" t="s">
        <v>748</v>
      </c>
      <c r="E87" s="114" t="s">
        <v>875</v>
      </c>
      <c r="F87" s="115" t="s">
        <v>1097</v>
      </c>
      <c r="G87" s="116" t="s">
        <v>1134</v>
      </c>
      <c r="H87" s="117"/>
      <c r="I87" s="118" t="s">
        <v>275</v>
      </c>
      <c r="J87" s="118">
        <v>13</v>
      </c>
      <c r="K87" s="114" t="s">
        <v>617</v>
      </c>
      <c r="L87" s="114" t="s">
        <v>748</v>
      </c>
      <c r="M87" s="114" t="s">
        <v>930</v>
      </c>
      <c r="N87" s="118"/>
      <c r="O87" s="118" t="s">
        <v>1060</v>
      </c>
      <c r="P87" s="118" t="s">
        <v>583</v>
      </c>
      <c r="Q87" s="119" t="s">
        <v>1081</v>
      </c>
      <c r="R87" s="116" t="s">
        <v>414</v>
      </c>
      <c r="S87" s="118" t="s">
        <v>1136</v>
      </c>
    </row>
    <row r="88" spans="1:19" ht="39" customHeight="1">
      <c r="A88" s="112" t="s">
        <v>1063</v>
      </c>
      <c r="B88" s="113" t="s">
        <v>1064</v>
      </c>
      <c r="C88" s="114" t="s">
        <v>618</v>
      </c>
      <c r="D88" s="114" t="s">
        <v>749</v>
      </c>
      <c r="E88" s="114" t="s">
        <v>875</v>
      </c>
      <c r="F88" s="115" t="s">
        <v>1097</v>
      </c>
      <c r="G88" s="116" t="s">
        <v>1134</v>
      </c>
      <c r="H88" s="117"/>
      <c r="I88" s="118" t="s">
        <v>275</v>
      </c>
      <c r="J88" s="118">
        <v>13</v>
      </c>
      <c r="K88" s="114" t="s">
        <v>618</v>
      </c>
      <c r="L88" s="114" t="s">
        <v>749</v>
      </c>
      <c r="M88" s="114" t="s">
        <v>931</v>
      </c>
      <c r="N88" s="118"/>
      <c r="O88" s="118" t="s">
        <v>1060</v>
      </c>
      <c r="P88" s="118" t="s">
        <v>583</v>
      </c>
      <c r="Q88" s="119" t="s">
        <v>1081</v>
      </c>
      <c r="R88" s="116" t="s">
        <v>414</v>
      </c>
      <c r="S88" s="118" t="s">
        <v>1136</v>
      </c>
    </row>
    <row r="89" spans="1:19" ht="39" customHeight="1">
      <c r="A89" s="112" t="s">
        <v>1063</v>
      </c>
      <c r="B89" s="113" t="s">
        <v>1064</v>
      </c>
      <c r="C89" s="114" t="s">
        <v>619</v>
      </c>
      <c r="D89" s="114" t="s">
        <v>750</v>
      </c>
      <c r="E89" s="114" t="s">
        <v>876</v>
      </c>
      <c r="F89" s="115" t="s">
        <v>1098</v>
      </c>
      <c r="G89" s="116" t="s">
        <v>1134</v>
      </c>
      <c r="H89" s="117"/>
      <c r="I89" s="118" t="s">
        <v>275</v>
      </c>
      <c r="J89" s="118">
        <v>14</v>
      </c>
      <c r="K89" s="114" t="s">
        <v>619</v>
      </c>
      <c r="L89" s="114" t="s">
        <v>750</v>
      </c>
      <c r="M89" s="114" t="s">
        <v>932</v>
      </c>
      <c r="N89" s="118"/>
      <c r="O89" s="118" t="s">
        <v>1060</v>
      </c>
      <c r="P89" s="118" t="s">
        <v>583</v>
      </c>
      <c r="Q89" s="119" t="s">
        <v>1081</v>
      </c>
      <c r="R89" s="116" t="s">
        <v>414</v>
      </c>
      <c r="S89" s="118" t="s">
        <v>1135</v>
      </c>
    </row>
    <row r="90" spans="1:19" ht="39" customHeight="1">
      <c r="A90" s="112" t="s">
        <v>1063</v>
      </c>
      <c r="B90" s="113" t="s">
        <v>1064</v>
      </c>
      <c r="C90" s="114" t="s">
        <v>620</v>
      </c>
      <c r="D90" s="114" t="s">
        <v>751</v>
      </c>
      <c r="E90" s="114" t="s">
        <v>876</v>
      </c>
      <c r="F90" s="115" t="s">
        <v>1098</v>
      </c>
      <c r="G90" s="116" t="s">
        <v>1134</v>
      </c>
      <c r="H90" s="117"/>
      <c r="I90" s="118" t="s">
        <v>275</v>
      </c>
      <c r="J90" s="118">
        <v>14</v>
      </c>
      <c r="K90" s="114" t="s">
        <v>620</v>
      </c>
      <c r="L90" s="114" t="s">
        <v>751</v>
      </c>
      <c r="M90" s="114" t="s">
        <v>933</v>
      </c>
      <c r="N90" s="118"/>
      <c r="O90" s="118" t="s">
        <v>1060</v>
      </c>
      <c r="P90" s="118" t="s">
        <v>583</v>
      </c>
      <c r="Q90" s="119" t="s">
        <v>1081</v>
      </c>
      <c r="R90" s="116" t="s">
        <v>414</v>
      </c>
      <c r="S90" s="118" t="s">
        <v>1135</v>
      </c>
    </row>
    <row r="91" spans="1:19" ht="39" customHeight="1">
      <c r="A91" s="112" t="s">
        <v>1063</v>
      </c>
      <c r="B91" s="113" t="s">
        <v>1064</v>
      </c>
      <c r="C91" s="114" t="s">
        <v>625</v>
      </c>
      <c r="D91" s="114" t="s">
        <v>756</v>
      </c>
      <c r="E91" s="114" t="s">
        <v>874</v>
      </c>
      <c r="F91" s="115" t="s">
        <v>1157</v>
      </c>
      <c r="G91" s="116" t="s">
        <v>1134</v>
      </c>
      <c r="H91" s="117"/>
      <c r="I91" s="118" t="s">
        <v>275</v>
      </c>
      <c r="J91" s="118">
        <v>12</v>
      </c>
      <c r="K91" s="114" t="s">
        <v>625</v>
      </c>
      <c r="L91" s="114" t="s">
        <v>756</v>
      </c>
      <c r="M91" s="114" t="s">
        <v>938</v>
      </c>
      <c r="N91" s="118"/>
      <c r="O91" s="118" t="s">
        <v>1060</v>
      </c>
      <c r="P91" s="118" t="s">
        <v>583</v>
      </c>
      <c r="Q91" s="119" t="s">
        <v>1081</v>
      </c>
      <c r="R91" s="116" t="s">
        <v>414</v>
      </c>
      <c r="S91" s="118" t="s">
        <v>1135</v>
      </c>
    </row>
    <row r="92" spans="1:19" ht="39" customHeight="1">
      <c r="A92" s="112" t="s">
        <v>1063</v>
      </c>
      <c r="B92" s="113" t="s">
        <v>1064</v>
      </c>
      <c r="C92" s="114" t="s">
        <v>626</v>
      </c>
      <c r="D92" s="114" t="s">
        <v>757</v>
      </c>
      <c r="E92" s="114" t="s">
        <v>872</v>
      </c>
      <c r="F92" s="115" t="s">
        <v>1156</v>
      </c>
      <c r="G92" s="116" t="s">
        <v>1134</v>
      </c>
      <c r="H92" s="117"/>
      <c r="I92" s="118" t="s">
        <v>275</v>
      </c>
      <c r="J92" s="118">
        <v>11</v>
      </c>
      <c r="K92" s="114" t="s">
        <v>626</v>
      </c>
      <c r="L92" s="114" t="s">
        <v>757</v>
      </c>
      <c r="M92" s="114" t="s">
        <v>939</v>
      </c>
      <c r="N92" s="118"/>
      <c r="O92" s="118" t="s">
        <v>1060</v>
      </c>
      <c r="P92" s="118" t="s">
        <v>583</v>
      </c>
      <c r="Q92" s="119" t="s">
        <v>1081</v>
      </c>
      <c r="R92" s="116" t="s">
        <v>414</v>
      </c>
      <c r="S92" s="118" t="s">
        <v>1136</v>
      </c>
    </row>
    <row r="93" spans="1:19" ht="39" customHeight="1">
      <c r="A93" s="160" t="s">
        <v>1068</v>
      </c>
      <c r="B93" s="161" t="s">
        <v>1066</v>
      </c>
      <c r="C93" s="162" t="s">
        <v>652</v>
      </c>
      <c r="D93" s="162" t="s">
        <v>783</v>
      </c>
      <c r="E93" s="162" t="s">
        <v>892</v>
      </c>
      <c r="F93" s="163" t="s">
        <v>1104</v>
      </c>
      <c r="G93" s="164" t="s">
        <v>1134</v>
      </c>
      <c r="H93" s="165"/>
      <c r="I93" s="166" t="s">
        <v>277</v>
      </c>
      <c r="J93" s="166">
        <v>15</v>
      </c>
      <c r="K93" s="162" t="s">
        <v>652</v>
      </c>
      <c r="L93" s="162" t="s">
        <v>783</v>
      </c>
      <c r="M93" s="162" t="s">
        <v>965</v>
      </c>
      <c r="N93" s="166">
        <v>2878637</v>
      </c>
      <c r="O93" s="166">
        <v>4801</v>
      </c>
      <c r="P93" s="166" t="s">
        <v>583</v>
      </c>
      <c r="Q93" s="164" t="s">
        <v>1081</v>
      </c>
      <c r="R93" s="164" t="s">
        <v>414</v>
      </c>
      <c r="S93" s="166" t="s">
        <v>1139</v>
      </c>
    </row>
    <row r="94" spans="1:19" ht="26.25" customHeight="1">
      <c r="A94" s="160" t="s">
        <v>1068</v>
      </c>
      <c r="B94" s="161" t="s">
        <v>1066</v>
      </c>
      <c r="C94" s="162" t="s">
        <v>653</v>
      </c>
      <c r="D94" s="162" t="s">
        <v>784</v>
      </c>
      <c r="E94" s="162" t="s">
        <v>892</v>
      </c>
      <c r="F94" s="163" t="s">
        <v>1105</v>
      </c>
      <c r="G94" s="164" t="s">
        <v>1134</v>
      </c>
      <c r="H94" s="165"/>
      <c r="I94" s="166" t="s">
        <v>277</v>
      </c>
      <c r="J94" s="166">
        <v>15</v>
      </c>
      <c r="K94" s="162" t="s">
        <v>653</v>
      </c>
      <c r="L94" s="162" t="s">
        <v>784</v>
      </c>
      <c r="M94" s="162" t="s">
        <v>966</v>
      </c>
      <c r="N94" s="166">
        <v>4998423</v>
      </c>
      <c r="O94" s="166">
        <v>4841</v>
      </c>
      <c r="P94" s="166" t="s">
        <v>583</v>
      </c>
      <c r="Q94" s="164" t="s">
        <v>1081</v>
      </c>
      <c r="R94" s="164" t="s">
        <v>414</v>
      </c>
      <c r="S94" s="166" t="s">
        <v>1139</v>
      </c>
    </row>
    <row r="95" spans="1:19" ht="26.25" customHeight="1">
      <c r="A95" s="160" t="s">
        <v>1068</v>
      </c>
      <c r="B95" s="161" t="s">
        <v>1066</v>
      </c>
      <c r="C95" s="162" t="s">
        <v>654</v>
      </c>
      <c r="D95" s="162" t="s">
        <v>785</v>
      </c>
      <c r="E95" s="162" t="s">
        <v>892</v>
      </c>
      <c r="F95" s="163" t="s">
        <v>1106</v>
      </c>
      <c r="G95" s="164" t="s">
        <v>1134</v>
      </c>
      <c r="H95" s="165"/>
      <c r="I95" s="166" t="s">
        <v>277</v>
      </c>
      <c r="J95" s="166">
        <v>15</v>
      </c>
      <c r="K95" s="162" t="s">
        <v>654</v>
      </c>
      <c r="L95" s="162" t="s">
        <v>785</v>
      </c>
      <c r="M95" s="162" t="s">
        <v>967</v>
      </c>
      <c r="N95" s="166">
        <v>4998424</v>
      </c>
      <c r="O95" s="166">
        <v>4841</v>
      </c>
      <c r="P95" s="166" t="s">
        <v>583</v>
      </c>
      <c r="Q95" s="164" t="s">
        <v>1081</v>
      </c>
      <c r="R95" s="164" t="s">
        <v>414</v>
      </c>
      <c r="S95" s="166" t="s">
        <v>1139</v>
      </c>
    </row>
    <row r="96" spans="1:19" ht="26.25" customHeight="1">
      <c r="A96" s="160" t="s">
        <v>1068</v>
      </c>
      <c r="B96" s="161" t="s">
        <v>1066</v>
      </c>
      <c r="C96" s="162" t="s">
        <v>655</v>
      </c>
      <c r="D96" s="162" t="s">
        <v>786</v>
      </c>
      <c r="E96" s="162" t="s">
        <v>892</v>
      </c>
      <c r="F96" s="163" t="s">
        <v>1104</v>
      </c>
      <c r="G96" s="164" t="s">
        <v>1134</v>
      </c>
      <c r="H96" s="165"/>
      <c r="I96" s="166" t="s">
        <v>277</v>
      </c>
      <c r="J96" s="166">
        <v>15</v>
      </c>
      <c r="K96" s="162" t="s">
        <v>655</v>
      </c>
      <c r="L96" s="162" t="s">
        <v>786</v>
      </c>
      <c r="M96" s="162" t="s">
        <v>968</v>
      </c>
      <c r="N96" s="166">
        <v>4998425</v>
      </c>
      <c r="O96" s="166">
        <v>4841</v>
      </c>
      <c r="P96" s="166" t="s">
        <v>583</v>
      </c>
      <c r="Q96" s="164" t="s">
        <v>1081</v>
      </c>
      <c r="R96" s="164" t="s">
        <v>414</v>
      </c>
      <c r="S96" s="166" t="s">
        <v>1139</v>
      </c>
    </row>
    <row r="97" spans="1:19" ht="26.25" customHeight="1">
      <c r="A97" s="160" t="s">
        <v>1068</v>
      </c>
      <c r="B97" s="161" t="s">
        <v>1066</v>
      </c>
      <c r="C97" s="162" t="s">
        <v>656</v>
      </c>
      <c r="D97" s="162" t="s">
        <v>787</v>
      </c>
      <c r="E97" s="162" t="s">
        <v>892</v>
      </c>
      <c r="F97" s="163" t="s">
        <v>1105</v>
      </c>
      <c r="G97" s="164" t="s">
        <v>1134</v>
      </c>
      <c r="H97" s="165"/>
      <c r="I97" s="166" t="s">
        <v>277</v>
      </c>
      <c r="J97" s="166">
        <v>15</v>
      </c>
      <c r="K97" s="162" t="s">
        <v>656</v>
      </c>
      <c r="L97" s="162" t="s">
        <v>787</v>
      </c>
      <c r="M97" s="162" t="s">
        <v>969</v>
      </c>
      <c r="N97" s="166">
        <v>2878575</v>
      </c>
      <c r="O97" s="166">
        <v>4847</v>
      </c>
      <c r="P97" s="166" t="s">
        <v>583</v>
      </c>
      <c r="Q97" s="164" t="s">
        <v>1081</v>
      </c>
      <c r="R97" s="164" t="s">
        <v>414</v>
      </c>
      <c r="S97" s="166" t="s">
        <v>1139</v>
      </c>
    </row>
    <row r="98" spans="1:19" ht="26.25" customHeight="1">
      <c r="A98" s="160" t="s">
        <v>1068</v>
      </c>
      <c r="B98" s="161" t="s">
        <v>1066</v>
      </c>
      <c r="C98" s="162" t="s">
        <v>657</v>
      </c>
      <c r="D98" s="162" t="s">
        <v>788</v>
      </c>
      <c r="E98" s="162" t="s">
        <v>892</v>
      </c>
      <c r="F98" s="163" t="s">
        <v>1106</v>
      </c>
      <c r="G98" s="164" t="s">
        <v>1134</v>
      </c>
      <c r="H98" s="165"/>
      <c r="I98" s="166" t="s">
        <v>277</v>
      </c>
      <c r="J98" s="166">
        <v>15</v>
      </c>
      <c r="K98" s="162" t="s">
        <v>657</v>
      </c>
      <c r="L98" s="162" t="s">
        <v>788</v>
      </c>
      <c r="M98" s="162" t="s">
        <v>970</v>
      </c>
      <c r="N98" s="166">
        <v>2878576</v>
      </c>
      <c r="O98" s="166">
        <v>4847</v>
      </c>
      <c r="P98" s="166" t="s">
        <v>583</v>
      </c>
      <c r="Q98" s="164" t="s">
        <v>1081</v>
      </c>
      <c r="R98" s="164" t="s">
        <v>414</v>
      </c>
      <c r="S98" s="166" t="s">
        <v>1139</v>
      </c>
    </row>
    <row r="99" spans="1:19" ht="26.25" customHeight="1">
      <c r="A99" s="160" t="s">
        <v>1068</v>
      </c>
      <c r="B99" s="161" t="s">
        <v>1066</v>
      </c>
      <c r="C99" s="162" t="s">
        <v>658</v>
      </c>
      <c r="D99" s="162" t="s">
        <v>789</v>
      </c>
      <c r="E99" s="162" t="s">
        <v>892</v>
      </c>
      <c r="F99" s="163" t="s">
        <v>1104</v>
      </c>
      <c r="G99" s="164" t="s">
        <v>1134</v>
      </c>
      <c r="H99" s="165"/>
      <c r="I99" s="166" t="s">
        <v>277</v>
      </c>
      <c r="J99" s="166">
        <v>15</v>
      </c>
      <c r="K99" s="162" t="s">
        <v>658</v>
      </c>
      <c r="L99" s="162" t="s">
        <v>789</v>
      </c>
      <c r="M99" s="162" t="s">
        <v>971</v>
      </c>
      <c r="N99" s="166">
        <v>2878577</v>
      </c>
      <c r="O99" s="166">
        <v>4847</v>
      </c>
      <c r="P99" s="166" t="s">
        <v>583</v>
      </c>
      <c r="Q99" s="164" t="s">
        <v>1081</v>
      </c>
      <c r="R99" s="164" t="s">
        <v>414</v>
      </c>
      <c r="S99" s="166" t="s">
        <v>1139</v>
      </c>
    </row>
    <row r="100" spans="1:19" ht="26.25" customHeight="1">
      <c r="A100" s="160" t="s">
        <v>1068</v>
      </c>
      <c r="B100" s="161" t="s">
        <v>1066</v>
      </c>
      <c r="C100" s="162" t="s">
        <v>665</v>
      </c>
      <c r="D100" s="162" t="s">
        <v>796</v>
      </c>
      <c r="E100" s="162" t="s">
        <v>892</v>
      </c>
      <c r="F100" s="163" t="s">
        <v>1105</v>
      </c>
      <c r="G100" s="164" t="s">
        <v>1134</v>
      </c>
      <c r="H100" s="165"/>
      <c r="I100" s="166" t="s">
        <v>275</v>
      </c>
      <c r="J100" s="166">
        <v>15</v>
      </c>
      <c r="K100" s="162" t="s">
        <v>665</v>
      </c>
      <c r="L100" s="162" t="s">
        <v>796</v>
      </c>
      <c r="M100" s="162" t="s">
        <v>978</v>
      </c>
      <c r="N100" s="166"/>
      <c r="O100" s="166">
        <v>48480</v>
      </c>
      <c r="P100" s="166" t="s">
        <v>583</v>
      </c>
      <c r="Q100" s="164" t="s">
        <v>1081</v>
      </c>
      <c r="R100" s="164" t="s">
        <v>414</v>
      </c>
      <c r="S100" s="166" t="s">
        <v>1139</v>
      </c>
    </row>
    <row r="101" spans="1:19" ht="26.25" customHeight="1">
      <c r="A101" s="160" t="s">
        <v>1068</v>
      </c>
      <c r="B101" s="161" t="s">
        <v>1066</v>
      </c>
      <c r="C101" s="162" t="s">
        <v>666</v>
      </c>
      <c r="D101" s="162" t="s">
        <v>797</v>
      </c>
      <c r="E101" s="162" t="s">
        <v>892</v>
      </c>
      <c r="F101" s="163" t="s">
        <v>1106</v>
      </c>
      <c r="G101" s="164" t="s">
        <v>1134</v>
      </c>
      <c r="H101" s="165"/>
      <c r="I101" s="166" t="s">
        <v>275</v>
      </c>
      <c r="J101" s="166">
        <v>15</v>
      </c>
      <c r="K101" s="162" t="s">
        <v>666</v>
      </c>
      <c r="L101" s="162" t="s">
        <v>797</v>
      </c>
      <c r="M101" s="162" t="s">
        <v>979</v>
      </c>
      <c r="N101" s="166"/>
      <c r="O101" s="166">
        <v>48480</v>
      </c>
      <c r="P101" s="166" t="s">
        <v>583</v>
      </c>
      <c r="Q101" s="164" t="s">
        <v>1081</v>
      </c>
      <c r="R101" s="164" t="s">
        <v>414</v>
      </c>
      <c r="S101" s="166" t="s">
        <v>1139</v>
      </c>
    </row>
    <row r="102" spans="1:19" ht="26.25" customHeight="1">
      <c r="A102" s="160" t="s">
        <v>1068</v>
      </c>
      <c r="B102" s="161" t="s">
        <v>1066</v>
      </c>
      <c r="C102" s="162" t="s">
        <v>667</v>
      </c>
      <c r="D102" s="162" t="s">
        <v>798</v>
      </c>
      <c r="E102" s="162" t="s">
        <v>892</v>
      </c>
      <c r="F102" s="163" t="s">
        <v>1104</v>
      </c>
      <c r="G102" s="164" t="s">
        <v>1134</v>
      </c>
      <c r="H102" s="165"/>
      <c r="I102" s="166" t="s">
        <v>275</v>
      </c>
      <c r="J102" s="166">
        <v>15</v>
      </c>
      <c r="K102" s="162" t="s">
        <v>667</v>
      </c>
      <c r="L102" s="162" t="s">
        <v>798</v>
      </c>
      <c r="M102" s="162" t="s">
        <v>980</v>
      </c>
      <c r="N102" s="166"/>
      <c r="O102" s="166">
        <v>48480</v>
      </c>
      <c r="P102" s="166" t="s">
        <v>583</v>
      </c>
      <c r="Q102" s="164" t="s">
        <v>1081</v>
      </c>
      <c r="R102" s="164" t="s">
        <v>414</v>
      </c>
      <c r="S102" s="166" t="s">
        <v>1139</v>
      </c>
    </row>
    <row r="103" spans="1:19" ht="39" customHeight="1">
      <c r="A103" s="133" t="s">
        <v>1074</v>
      </c>
      <c r="B103" s="134" t="s">
        <v>1075</v>
      </c>
      <c r="C103" s="135" t="s">
        <v>642</v>
      </c>
      <c r="D103" s="135" t="s">
        <v>773</v>
      </c>
      <c r="E103" s="135" t="s">
        <v>886</v>
      </c>
      <c r="F103" s="136" t="s">
        <v>1092</v>
      </c>
      <c r="G103" s="137" t="s">
        <v>1133</v>
      </c>
      <c r="H103" s="133" t="s">
        <v>1163</v>
      </c>
      <c r="I103" s="138" t="s">
        <v>275</v>
      </c>
      <c r="J103" s="138">
        <v>16</v>
      </c>
      <c r="K103" s="135" t="s">
        <v>642</v>
      </c>
      <c r="L103" s="135" t="s">
        <v>773</v>
      </c>
      <c r="M103" s="135" t="s">
        <v>955</v>
      </c>
      <c r="N103" s="138"/>
      <c r="O103" s="138">
        <v>48505</v>
      </c>
      <c r="P103" s="138" t="s">
        <v>583</v>
      </c>
      <c r="Q103" s="137" t="s">
        <v>1094</v>
      </c>
      <c r="R103" s="137" t="s">
        <v>414</v>
      </c>
      <c r="S103" s="138" t="s">
        <v>1095</v>
      </c>
    </row>
    <row r="104" spans="1:19" ht="38.25" customHeight="1">
      <c r="A104" s="133" t="s">
        <v>1074</v>
      </c>
      <c r="B104" s="134" t="s">
        <v>1075</v>
      </c>
      <c r="C104" s="135" t="s">
        <v>643</v>
      </c>
      <c r="D104" s="135" t="s">
        <v>774</v>
      </c>
      <c r="E104" s="135" t="s">
        <v>886</v>
      </c>
      <c r="F104" s="136" t="s">
        <v>1092</v>
      </c>
      <c r="G104" s="137" t="s">
        <v>1133</v>
      </c>
      <c r="H104" s="133" t="s">
        <v>1191</v>
      </c>
      <c r="I104" s="138" t="s">
        <v>275</v>
      </c>
      <c r="J104" s="138">
        <v>16</v>
      </c>
      <c r="K104" s="135" t="s">
        <v>643</v>
      </c>
      <c r="L104" s="135" t="s">
        <v>774</v>
      </c>
      <c r="M104" s="135" t="s">
        <v>956</v>
      </c>
      <c r="N104" s="138"/>
      <c r="O104" s="138">
        <v>48505</v>
      </c>
      <c r="P104" s="138" t="s">
        <v>583</v>
      </c>
      <c r="Q104" s="137" t="s">
        <v>1094</v>
      </c>
      <c r="R104" s="137" t="s">
        <v>414</v>
      </c>
      <c r="S104" s="138" t="s">
        <v>1096</v>
      </c>
    </row>
    <row r="105" spans="1:19" ht="39.75" customHeight="1">
      <c r="A105" s="133" t="s">
        <v>1074</v>
      </c>
      <c r="B105" s="134" t="s">
        <v>1075</v>
      </c>
      <c r="C105" s="135" t="s">
        <v>644</v>
      </c>
      <c r="D105" s="135" t="s">
        <v>775</v>
      </c>
      <c r="E105" s="135" t="s">
        <v>887</v>
      </c>
      <c r="F105" s="136" t="s">
        <v>1093</v>
      </c>
      <c r="G105" s="137" t="s">
        <v>1133</v>
      </c>
      <c r="H105" s="133" t="s">
        <v>1191</v>
      </c>
      <c r="I105" s="138" t="s">
        <v>275</v>
      </c>
      <c r="J105" s="138">
        <v>17</v>
      </c>
      <c r="K105" s="135" t="s">
        <v>644</v>
      </c>
      <c r="L105" s="135" t="s">
        <v>775</v>
      </c>
      <c r="M105" s="135" t="s">
        <v>957</v>
      </c>
      <c r="N105" s="138"/>
      <c r="O105" s="138">
        <v>48505</v>
      </c>
      <c r="P105" s="138" t="s">
        <v>583</v>
      </c>
      <c r="Q105" s="137" t="s">
        <v>1094</v>
      </c>
      <c r="R105" s="137" t="s">
        <v>414</v>
      </c>
      <c r="S105" s="138" t="s">
        <v>1096</v>
      </c>
    </row>
    <row r="106" spans="1:19" ht="43.5" customHeight="1">
      <c r="A106" s="133" t="s">
        <v>1074</v>
      </c>
      <c r="B106" s="134" t="s">
        <v>1075</v>
      </c>
      <c r="C106" s="135" t="s">
        <v>645</v>
      </c>
      <c r="D106" s="135" t="s">
        <v>776</v>
      </c>
      <c r="E106" s="135" t="s">
        <v>887</v>
      </c>
      <c r="F106" s="136" t="s">
        <v>1093</v>
      </c>
      <c r="G106" s="137" t="s">
        <v>1133</v>
      </c>
      <c r="H106" s="133" t="s">
        <v>1163</v>
      </c>
      <c r="I106" s="138" t="s">
        <v>275</v>
      </c>
      <c r="J106" s="138">
        <v>17</v>
      </c>
      <c r="K106" s="135" t="s">
        <v>645</v>
      </c>
      <c r="L106" s="135" t="s">
        <v>776</v>
      </c>
      <c r="M106" s="135" t="s">
        <v>958</v>
      </c>
      <c r="N106" s="138"/>
      <c r="O106" s="138">
        <v>48505</v>
      </c>
      <c r="P106" s="138" t="s">
        <v>583</v>
      </c>
      <c r="Q106" s="137" t="s">
        <v>1094</v>
      </c>
      <c r="R106" s="137" t="s">
        <v>414</v>
      </c>
      <c r="S106" s="138" t="s">
        <v>1095</v>
      </c>
    </row>
    <row r="107" spans="1:19" ht="41.25" customHeight="1">
      <c r="A107" s="133" t="s">
        <v>1074</v>
      </c>
      <c r="B107" s="134" t="s">
        <v>1075</v>
      </c>
      <c r="C107" s="135" t="s">
        <v>646</v>
      </c>
      <c r="D107" s="135" t="s">
        <v>777</v>
      </c>
      <c r="E107" s="135" t="s">
        <v>886</v>
      </c>
      <c r="F107" s="136" t="s">
        <v>1092</v>
      </c>
      <c r="G107" s="137" t="s">
        <v>1133</v>
      </c>
      <c r="H107" s="133" t="s">
        <v>1162</v>
      </c>
      <c r="I107" s="138" t="s">
        <v>275</v>
      </c>
      <c r="J107" s="138">
        <v>16</v>
      </c>
      <c r="K107" s="135" t="s">
        <v>646</v>
      </c>
      <c r="L107" s="135" t="s">
        <v>777</v>
      </c>
      <c r="M107" s="135" t="s">
        <v>959</v>
      </c>
      <c r="N107" s="138"/>
      <c r="O107" s="138">
        <v>48505</v>
      </c>
      <c r="P107" s="138" t="s">
        <v>583</v>
      </c>
      <c r="Q107" s="137" t="s">
        <v>1094</v>
      </c>
      <c r="R107" s="137" t="s">
        <v>414</v>
      </c>
      <c r="S107" s="138" t="s">
        <v>1140</v>
      </c>
    </row>
    <row r="108" spans="1:19" ht="41.25" customHeight="1">
      <c r="A108" s="133" t="s">
        <v>1074</v>
      </c>
      <c r="B108" s="134" t="s">
        <v>1075</v>
      </c>
      <c r="C108" s="135" t="s">
        <v>647</v>
      </c>
      <c r="D108" s="135" t="s">
        <v>778</v>
      </c>
      <c r="E108" s="135" t="s">
        <v>887</v>
      </c>
      <c r="F108" s="136" t="s">
        <v>1093</v>
      </c>
      <c r="G108" s="137" t="s">
        <v>1133</v>
      </c>
      <c r="H108" s="133" t="s">
        <v>1162</v>
      </c>
      <c r="I108" s="138" t="s">
        <v>275</v>
      </c>
      <c r="J108" s="138">
        <v>17</v>
      </c>
      <c r="K108" s="135" t="s">
        <v>647</v>
      </c>
      <c r="L108" s="135" t="s">
        <v>778</v>
      </c>
      <c r="M108" s="135" t="s">
        <v>960</v>
      </c>
      <c r="N108" s="138"/>
      <c r="O108" s="138">
        <v>48505</v>
      </c>
      <c r="P108" s="138" t="s">
        <v>583</v>
      </c>
      <c r="Q108" s="137" t="s">
        <v>1094</v>
      </c>
      <c r="R108" s="137" t="s">
        <v>414</v>
      </c>
      <c r="S108" s="138" t="s">
        <v>1141</v>
      </c>
    </row>
    <row r="109" spans="1:19" ht="48" customHeight="1">
      <c r="A109" s="139" t="s">
        <v>1067</v>
      </c>
      <c r="B109" s="139" t="s">
        <v>1065</v>
      </c>
      <c r="C109" s="140" t="s">
        <v>638</v>
      </c>
      <c r="D109" s="140" t="s">
        <v>769</v>
      </c>
      <c r="E109" s="140" t="s">
        <v>883</v>
      </c>
      <c r="F109" s="141" t="s">
        <v>1101</v>
      </c>
      <c r="G109" s="142" t="s">
        <v>1134</v>
      </c>
      <c r="H109" s="143"/>
      <c r="I109" s="139" t="s">
        <v>275</v>
      </c>
      <c r="J109" s="139">
        <v>18</v>
      </c>
      <c r="K109" s="140" t="s">
        <v>638</v>
      </c>
      <c r="L109" s="140" t="s">
        <v>769</v>
      </c>
      <c r="M109" s="140" t="s">
        <v>951</v>
      </c>
      <c r="N109" s="144"/>
      <c r="O109" s="144">
        <v>48470</v>
      </c>
      <c r="P109" s="144" t="s">
        <v>583</v>
      </c>
      <c r="Q109" s="142" t="s">
        <v>1094</v>
      </c>
      <c r="R109" s="142" t="s">
        <v>414</v>
      </c>
      <c r="S109" s="144" t="s">
        <v>1142</v>
      </c>
    </row>
    <row r="110" spans="1:19" ht="41.25" customHeight="1">
      <c r="A110" s="139" t="s">
        <v>1067</v>
      </c>
      <c r="B110" s="139" t="s">
        <v>1065</v>
      </c>
      <c r="C110" s="140" t="s">
        <v>639</v>
      </c>
      <c r="D110" s="140" t="s">
        <v>770</v>
      </c>
      <c r="E110" s="140" t="s">
        <v>884</v>
      </c>
      <c r="F110" s="141" t="s">
        <v>1102</v>
      </c>
      <c r="G110" s="142" t="s">
        <v>1134</v>
      </c>
      <c r="H110" s="143"/>
      <c r="I110" s="139" t="s">
        <v>275</v>
      </c>
      <c r="J110" s="139">
        <v>19</v>
      </c>
      <c r="K110" s="140" t="s">
        <v>639</v>
      </c>
      <c r="L110" s="140" t="s">
        <v>770</v>
      </c>
      <c r="M110" s="140" t="s">
        <v>952</v>
      </c>
      <c r="N110" s="144"/>
      <c r="O110" s="144">
        <v>48430</v>
      </c>
      <c r="P110" s="144" t="s">
        <v>583</v>
      </c>
      <c r="Q110" s="142" t="s">
        <v>1094</v>
      </c>
      <c r="R110" s="142" t="s">
        <v>414</v>
      </c>
      <c r="S110" s="144" t="s">
        <v>1143</v>
      </c>
    </row>
    <row r="111" spans="1:19" ht="40.5" customHeight="1">
      <c r="A111" s="139" t="s">
        <v>1067</v>
      </c>
      <c r="B111" s="139" t="s">
        <v>1065</v>
      </c>
      <c r="C111" s="140" t="s">
        <v>640</v>
      </c>
      <c r="D111" s="140" t="s">
        <v>771</v>
      </c>
      <c r="E111" s="140" t="s">
        <v>883</v>
      </c>
      <c r="F111" s="141" t="s">
        <v>1101</v>
      </c>
      <c r="G111" s="142" t="s">
        <v>1134</v>
      </c>
      <c r="H111" s="143"/>
      <c r="I111" s="139" t="s">
        <v>277</v>
      </c>
      <c r="J111" s="139">
        <v>18</v>
      </c>
      <c r="K111" s="140" t="s">
        <v>640</v>
      </c>
      <c r="L111" s="140" t="s">
        <v>771</v>
      </c>
      <c r="M111" s="140" t="s">
        <v>953</v>
      </c>
      <c r="N111" s="144">
        <v>4998671</v>
      </c>
      <c r="O111" s="144">
        <v>4845</v>
      </c>
      <c r="P111" s="144" t="s">
        <v>583</v>
      </c>
      <c r="Q111" s="142" t="s">
        <v>1094</v>
      </c>
      <c r="R111" s="142" t="s">
        <v>414</v>
      </c>
      <c r="S111" s="144" t="s">
        <v>1142</v>
      </c>
    </row>
    <row r="112" spans="1:19" ht="42.75" customHeight="1">
      <c r="A112" s="139" t="s">
        <v>1067</v>
      </c>
      <c r="B112" s="139" t="s">
        <v>1065</v>
      </c>
      <c r="C112" s="140" t="s">
        <v>641</v>
      </c>
      <c r="D112" s="140" t="s">
        <v>772</v>
      </c>
      <c r="E112" s="140" t="s">
        <v>885</v>
      </c>
      <c r="F112" s="141" t="s">
        <v>1103</v>
      </c>
      <c r="G112" s="142" t="s">
        <v>1134</v>
      </c>
      <c r="H112" s="143"/>
      <c r="I112" s="139" t="s">
        <v>275</v>
      </c>
      <c r="J112" s="139">
        <v>20</v>
      </c>
      <c r="K112" s="140" t="s">
        <v>641</v>
      </c>
      <c r="L112" s="140" t="s">
        <v>772</v>
      </c>
      <c r="M112" s="140" t="s">
        <v>954</v>
      </c>
      <c r="N112" s="144"/>
      <c r="O112" s="144">
        <v>48430</v>
      </c>
      <c r="P112" s="144" t="s">
        <v>583</v>
      </c>
      <c r="Q112" s="142" t="s">
        <v>1094</v>
      </c>
      <c r="R112" s="142" t="s">
        <v>414</v>
      </c>
      <c r="S112" s="144" t="s">
        <v>1143</v>
      </c>
    </row>
    <row r="113" spans="1:19" ht="43.5" customHeight="1">
      <c r="A113" s="104" t="s">
        <v>1076</v>
      </c>
      <c r="B113" s="105" t="s">
        <v>1077</v>
      </c>
      <c r="C113" s="106" t="s">
        <v>648</v>
      </c>
      <c r="D113" s="106" t="s">
        <v>779</v>
      </c>
      <c r="E113" s="106" t="s">
        <v>888</v>
      </c>
      <c r="F113" s="107" t="s">
        <v>1107</v>
      </c>
      <c r="G113" s="111" t="s">
        <v>1134</v>
      </c>
      <c r="H113" s="108"/>
      <c r="I113" s="104" t="s">
        <v>275</v>
      </c>
      <c r="J113" s="104">
        <v>21</v>
      </c>
      <c r="K113" s="106" t="s">
        <v>648</v>
      </c>
      <c r="L113" s="106" t="s">
        <v>779</v>
      </c>
      <c r="M113" s="106" t="s">
        <v>961</v>
      </c>
      <c r="N113" s="109"/>
      <c r="O113" s="109">
        <v>48480</v>
      </c>
      <c r="P113" s="109" t="s">
        <v>583</v>
      </c>
      <c r="Q113" s="110" t="s">
        <v>330</v>
      </c>
      <c r="R113" s="111" t="s">
        <v>413</v>
      </c>
      <c r="S113" s="145" t="s">
        <v>1144</v>
      </c>
    </row>
    <row r="114" spans="1:19" ht="41.25" customHeight="1">
      <c r="A114" s="104" t="s">
        <v>1076</v>
      </c>
      <c r="B114" s="105" t="s">
        <v>1077</v>
      </c>
      <c r="C114" s="106" t="s">
        <v>649</v>
      </c>
      <c r="D114" s="106" t="s">
        <v>780</v>
      </c>
      <c r="E114" s="106" t="s">
        <v>889</v>
      </c>
      <c r="F114" s="107" t="s">
        <v>1110</v>
      </c>
      <c r="G114" s="111" t="s">
        <v>1134</v>
      </c>
      <c r="H114" s="108"/>
      <c r="I114" s="104" t="s">
        <v>275</v>
      </c>
      <c r="J114" s="104">
        <v>22</v>
      </c>
      <c r="K114" s="106" t="s">
        <v>649</v>
      </c>
      <c r="L114" s="106" t="s">
        <v>780</v>
      </c>
      <c r="M114" s="106" t="s">
        <v>962</v>
      </c>
      <c r="N114" s="109"/>
      <c r="O114" s="109">
        <v>48480</v>
      </c>
      <c r="P114" s="109" t="s">
        <v>583</v>
      </c>
      <c r="Q114" s="110" t="s">
        <v>330</v>
      </c>
      <c r="R114" s="111" t="s">
        <v>413</v>
      </c>
      <c r="S114" s="145" t="s">
        <v>1144</v>
      </c>
    </row>
    <row r="115" spans="1:19" ht="42" customHeight="1">
      <c r="A115" s="104" t="s">
        <v>1076</v>
      </c>
      <c r="B115" s="105" t="s">
        <v>1077</v>
      </c>
      <c r="C115" s="106" t="s">
        <v>650</v>
      </c>
      <c r="D115" s="106" t="s">
        <v>781</v>
      </c>
      <c r="E115" s="106" t="s">
        <v>890</v>
      </c>
      <c r="F115" s="107" t="s">
        <v>1108</v>
      </c>
      <c r="G115" s="111" t="s">
        <v>1134</v>
      </c>
      <c r="H115" s="108"/>
      <c r="I115" s="104" t="s">
        <v>275</v>
      </c>
      <c r="J115" s="104">
        <v>23</v>
      </c>
      <c r="K115" s="106" t="s">
        <v>650</v>
      </c>
      <c r="L115" s="106" t="s">
        <v>781</v>
      </c>
      <c r="M115" s="106" t="s">
        <v>963</v>
      </c>
      <c r="N115" s="109"/>
      <c r="O115" s="109">
        <v>48450</v>
      </c>
      <c r="P115" s="109" t="s">
        <v>583</v>
      </c>
      <c r="Q115" s="110" t="s">
        <v>330</v>
      </c>
      <c r="R115" s="111" t="s">
        <v>413</v>
      </c>
      <c r="S115" s="145" t="s">
        <v>1145</v>
      </c>
    </row>
    <row r="116" spans="1:19" ht="42.75" customHeight="1">
      <c r="A116" s="104" t="s">
        <v>1076</v>
      </c>
      <c r="B116" s="105" t="s">
        <v>1077</v>
      </c>
      <c r="C116" s="106" t="s">
        <v>651</v>
      </c>
      <c r="D116" s="106" t="s">
        <v>782</v>
      </c>
      <c r="E116" s="106" t="s">
        <v>891</v>
      </c>
      <c r="F116" s="107" t="s">
        <v>1109</v>
      </c>
      <c r="G116" s="111" t="s">
        <v>1134</v>
      </c>
      <c r="H116" s="108"/>
      <c r="I116" s="104" t="s">
        <v>275</v>
      </c>
      <c r="J116" s="104">
        <v>24</v>
      </c>
      <c r="K116" s="106" t="s">
        <v>651</v>
      </c>
      <c r="L116" s="106" t="s">
        <v>782</v>
      </c>
      <c r="M116" s="106" t="s">
        <v>964</v>
      </c>
      <c r="N116" s="109"/>
      <c r="O116" s="109">
        <v>48450</v>
      </c>
      <c r="P116" s="109" t="s">
        <v>583</v>
      </c>
      <c r="Q116" s="110" t="s">
        <v>330</v>
      </c>
      <c r="R116" s="111" t="s">
        <v>413</v>
      </c>
      <c r="S116" s="145" t="s">
        <v>1145</v>
      </c>
    </row>
    <row r="117" spans="1:19" ht="26.25" customHeight="1">
      <c r="A117" s="153" t="s">
        <v>1078</v>
      </c>
      <c r="B117" s="154" t="s">
        <v>1079</v>
      </c>
      <c r="C117" s="155" t="s">
        <v>909</v>
      </c>
      <c r="D117" s="155" t="s">
        <v>915</v>
      </c>
      <c r="E117" s="155" t="s">
        <v>921</v>
      </c>
      <c r="F117" s="156" t="s">
        <v>1126</v>
      </c>
      <c r="G117" s="157" t="s">
        <v>1134</v>
      </c>
      <c r="H117" s="158"/>
      <c r="I117" s="159" t="s">
        <v>275</v>
      </c>
      <c r="J117" s="159">
        <v>25</v>
      </c>
      <c r="K117" s="155" t="s">
        <v>909</v>
      </c>
      <c r="L117" s="155" t="s">
        <v>915</v>
      </c>
      <c r="M117" s="155" t="s">
        <v>1016</v>
      </c>
      <c r="N117" s="159"/>
      <c r="O117" s="159">
        <v>48530</v>
      </c>
      <c r="P117" s="159">
        <v>4954431</v>
      </c>
      <c r="Q117" s="157" t="s">
        <v>1081</v>
      </c>
      <c r="R117" s="157" t="s">
        <v>414</v>
      </c>
      <c r="S117" s="153" t="s">
        <v>1137</v>
      </c>
    </row>
    <row r="118" spans="1:19" ht="26.25" customHeight="1">
      <c r="A118" s="153" t="s">
        <v>1078</v>
      </c>
      <c r="B118" s="154" t="s">
        <v>1079</v>
      </c>
      <c r="C118" s="155" t="s">
        <v>910</v>
      </c>
      <c r="D118" s="155" t="s">
        <v>916</v>
      </c>
      <c r="E118" s="155" t="s">
        <v>921</v>
      </c>
      <c r="F118" s="156" t="s">
        <v>1123</v>
      </c>
      <c r="G118" s="157" t="s">
        <v>1134</v>
      </c>
      <c r="H118" s="158"/>
      <c r="I118" s="159" t="s">
        <v>275</v>
      </c>
      <c r="J118" s="159">
        <v>26</v>
      </c>
      <c r="K118" s="155" t="s">
        <v>910</v>
      </c>
      <c r="L118" s="155" t="s">
        <v>916</v>
      </c>
      <c r="M118" s="155" t="s">
        <v>1053</v>
      </c>
      <c r="N118" s="159"/>
      <c r="O118" s="159">
        <v>48530</v>
      </c>
      <c r="P118" s="159">
        <v>4954431</v>
      </c>
      <c r="Q118" s="157" t="s">
        <v>1081</v>
      </c>
      <c r="R118" s="157" t="s">
        <v>414</v>
      </c>
      <c r="S118" s="153" t="s">
        <v>1137</v>
      </c>
    </row>
    <row r="119" spans="1:19" ht="26.25" customHeight="1">
      <c r="A119" s="153" t="s">
        <v>1078</v>
      </c>
      <c r="B119" s="154" t="s">
        <v>1079</v>
      </c>
      <c r="C119" s="155" t="s">
        <v>911</v>
      </c>
      <c r="D119" s="155" t="s">
        <v>917</v>
      </c>
      <c r="E119" s="155" t="s">
        <v>921</v>
      </c>
      <c r="F119" s="156" t="s">
        <v>1124</v>
      </c>
      <c r="G119" s="157" t="s">
        <v>1134</v>
      </c>
      <c r="H119" s="158"/>
      <c r="I119" s="159" t="s">
        <v>275</v>
      </c>
      <c r="J119" s="159">
        <v>26</v>
      </c>
      <c r="K119" s="155" t="s">
        <v>911</v>
      </c>
      <c r="L119" s="155" t="s">
        <v>917</v>
      </c>
      <c r="M119" s="155" t="s">
        <v>1054</v>
      </c>
      <c r="N119" s="159"/>
      <c r="O119" s="159">
        <v>48530</v>
      </c>
      <c r="P119" s="159">
        <v>4954431</v>
      </c>
      <c r="Q119" s="157" t="s">
        <v>1081</v>
      </c>
      <c r="R119" s="157" t="s">
        <v>414</v>
      </c>
      <c r="S119" s="153" t="s">
        <v>1138</v>
      </c>
    </row>
    <row r="120" spans="1:19" ht="26.25" customHeight="1">
      <c r="A120" s="153" t="s">
        <v>1078</v>
      </c>
      <c r="B120" s="154" t="s">
        <v>1079</v>
      </c>
      <c r="C120" s="155" t="s">
        <v>912</v>
      </c>
      <c r="D120" s="155" t="s">
        <v>918</v>
      </c>
      <c r="E120" s="155" t="s">
        <v>921</v>
      </c>
      <c r="F120" s="156" t="s">
        <v>1123</v>
      </c>
      <c r="G120" s="157" t="s">
        <v>1134</v>
      </c>
      <c r="H120" s="158"/>
      <c r="I120" s="159" t="s">
        <v>275</v>
      </c>
      <c r="J120" s="159">
        <v>26</v>
      </c>
      <c r="K120" s="155" t="s">
        <v>912</v>
      </c>
      <c r="L120" s="155" t="s">
        <v>918</v>
      </c>
      <c r="M120" s="155" t="s">
        <v>1055</v>
      </c>
      <c r="N120" s="159"/>
      <c r="O120" s="159">
        <v>48530</v>
      </c>
      <c r="P120" s="159">
        <v>4954431</v>
      </c>
      <c r="Q120" s="157" t="s">
        <v>1081</v>
      </c>
      <c r="R120" s="157" t="s">
        <v>414</v>
      </c>
      <c r="S120" s="153" t="s">
        <v>1138</v>
      </c>
    </row>
    <row r="121" spans="1:19" ht="26.25" customHeight="1">
      <c r="A121" s="153" t="s">
        <v>1078</v>
      </c>
      <c r="B121" s="154" t="s">
        <v>1079</v>
      </c>
      <c r="C121" s="155" t="s">
        <v>913</v>
      </c>
      <c r="D121" s="155" t="s">
        <v>919</v>
      </c>
      <c r="E121" s="155" t="s">
        <v>921</v>
      </c>
      <c r="F121" s="156" t="s">
        <v>1125</v>
      </c>
      <c r="G121" s="157" t="s">
        <v>1134</v>
      </c>
      <c r="H121" s="158"/>
      <c r="I121" s="159" t="s">
        <v>275</v>
      </c>
      <c r="J121" s="159">
        <v>26</v>
      </c>
      <c r="K121" s="155" t="s">
        <v>913</v>
      </c>
      <c r="L121" s="155" t="s">
        <v>919</v>
      </c>
      <c r="M121" s="155" t="s">
        <v>1057</v>
      </c>
      <c r="N121" s="159"/>
      <c r="O121" s="159">
        <v>48530</v>
      </c>
      <c r="P121" s="159">
        <v>4954431</v>
      </c>
      <c r="Q121" s="157" t="s">
        <v>1081</v>
      </c>
      <c r="R121" s="157" t="s">
        <v>414</v>
      </c>
      <c r="S121" s="153" t="s">
        <v>1137</v>
      </c>
    </row>
    <row r="122" spans="1:19" ht="26.25" customHeight="1">
      <c r="A122" s="153" t="s">
        <v>1078</v>
      </c>
      <c r="B122" s="154" t="s">
        <v>1079</v>
      </c>
      <c r="C122" s="155" t="s">
        <v>914</v>
      </c>
      <c r="D122" s="155" t="s">
        <v>920</v>
      </c>
      <c r="E122" s="155" t="s">
        <v>921</v>
      </c>
      <c r="F122" s="156" t="s">
        <v>1125</v>
      </c>
      <c r="G122" s="157" t="s">
        <v>1134</v>
      </c>
      <c r="H122" s="158"/>
      <c r="I122" s="159" t="s">
        <v>275</v>
      </c>
      <c r="J122" s="159">
        <v>26</v>
      </c>
      <c r="K122" s="155" t="s">
        <v>914</v>
      </c>
      <c r="L122" s="155" t="s">
        <v>920</v>
      </c>
      <c r="M122" s="155" t="s">
        <v>1058</v>
      </c>
      <c r="N122" s="159"/>
      <c r="O122" s="159">
        <v>48530</v>
      </c>
      <c r="P122" s="159">
        <v>4954431</v>
      </c>
      <c r="Q122" s="157" t="s">
        <v>1081</v>
      </c>
      <c r="R122" s="157" t="s">
        <v>414</v>
      </c>
      <c r="S122" s="153" t="s">
        <v>1138</v>
      </c>
    </row>
    <row r="123" spans="1:19" ht="42.75" customHeight="1">
      <c r="A123" s="146" t="s">
        <v>1062</v>
      </c>
      <c r="B123" s="147" t="s">
        <v>1061</v>
      </c>
      <c r="C123" s="148" t="s">
        <v>609</v>
      </c>
      <c r="D123" s="148" t="s">
        <v>740</v>
      </c>
      <c r="E123" s="148" t="s">
        <v>871</v>
      </c>
      <c r="F123" s="149" t="s">
        <v>1158</v>
      </c>
      <c r="G123" s="150" t="s">
        <v>1134</v>
      </c>
      <c r="H123" s="151"/>
      <c r="I123" s="152" t="s">
        <v>277</v>
      </c>
      <c r="J123" s="152">
        <v>27</v>
      </c>
      <c r="K123" s="148" t="s">
        <v>609</v>
      </c>
      <c r="L123" s="148" t="s">
        <v>740</v>
      </c>
      <c r="M123" s="148" t="s">
        <v>922</v>
      </c>
      <c r="N123" s="152">
        <v>2878606</v>
      </c>
      <c r="O123" s="152">
        <v>4850</v>
      </c>
      <c r="P123" s="152" t="s">
        <v>583</v>
      </c>
      <c r="Q123" s="150" t="s">
        <v>1094</v>
      </c>
      <c r="R123" s="150" t="s">
        <v>414</v>
      </c>
      <c r="S123" s="146" t="s">
        <v>1136</v>
      </c>
    </row>
    <row r="124" spans="1:19" ht="42.75" customHeight="1">
      <c r="A124" s="146" t="s">
        <v>1062</v>
      </c>
      <c r="B124" s="147" t="s">
        <v>1061</v>
      </c>
      <c r="C124" s="148" t="s">
        <v>611</v>
      </c>
      <c r="D124" s="148" t="s">
        <v>742</v>
      </c>
      <c r="E124" s="148" t="s">
        <v>873</v>
      </c>
      <c r="F124" s="149" t="s">
        <v>1159</v>
      </c>
      <c r="G124" s="150" t="s">
        <v>1134</v>
      </c>
      <c r="H124" s="151"/>
      <c r="I124" s="152" t="s">
        <v>277</v>
      </c>
      <c r="J124" s="152">
        <v>28</v>
      </c>
      <c r="K124" s="148" t="s">
        <v>611</v>
      </c>
      <c r="L124" s="148" t="s">
        <v>742</v>
      </c>
      <c r="M124" s="148" t="s">
        <v>924</v>
      </c>
      <c r="N124" s="152">
        <v>2878595</v>
      </c>
      <c r="O124" s="152">
        <v>4850</v>
      </c>
      <c r="P124" s="152" t="s">
        <v>583</v>
      </c>
      <c r="Q124" s="150" t="s">
        <v>1081</v>
      </c>
      <c r="R124" s="150" t="s">
        <v>414</v>
      </c>
      <c r="S124" s="146" t="s">
        <v>1136</v>
      </c>
    </row>
    <row r="125" spans="1:19" ht="41.25" customHeight="1">
      <c r="A125" s="146" t="s">
        <v>1062</v>
      </c>
      <c r="B125" s="147" t="s">
        <v>1061</v>
      </c>
      <c r="C125" s="148" t="s">
        <v>613</v>
      </c>
      <c r="D125" s="148" t="s">
        <v>744</v>
      </c>
      <c r="E125" s="148" t="s">
        <v>871</v>
      </c>
      <c r="F125" s="149" t="s">
        <v>1158</v>
      </c>
      <c r="G125" s="150" t="s">
        <v>1134</v>
      </c>
      <c r="H125" s="151"/>
      <c r="I125" s="152" t="s">
        <v>275</v>
      </c>
      <c r="J125" s="152">
        <v>27</v>
      </c>
      <c r="K125" s="148" t="s">
        <v>613</v>
      </c>
      <c r="L125" s="148" t="s">
        <v>744</v>
      </c>
      <c r="M125" s="148" t="s">
        <v>926</v>
      </c>
      <c r="N125" s="152"/>
      <c r="O125" s="152" t="s">
        <v>1060</v>
      </c>
      <c r="P125" s="152" t="s">
        <v>583</v>
      </c>
      <c r="Q125" s="150" t="s">
        <v>1094</v>
      </c>
      <c r="R125" s="150" t="s">
        <v>414</v>
      </c>
      <c r="S125" s="146" t="s">
        <v>1135</v>
      </c>
    </row>
    <row r="126" spans="1:19" ht="38.25" customHeight="1">
      <c r="A126" s="146" t="s">
        <v>1062</v>
      </c>
      <c r="B126" s="147" t="s">
        <v>1061</v>
      </c>
      <c r="C126" s="148" t="s">
        <v>614</v>
      </c>
      <c r="D126" s="148" t="s">
        <v>745</v>
      </c>
      <c r="E126" s="148" t="s">
        <v>873</v>
      </c>
      <c r="F126" s="149" t="s">
        <v>1159</v>
      </c>
      <c r="G126" s="150" t="s">
        <v>1134</v>
      </c>
      <c r="H126" s="151"/>
      <c r="I126" s="152" t="s">
        <v>275</v>
      </c>
      <c r="J126" s="152">
        <v>28</v>
      </c>
      <c r="K126" s="148" t="s">
        <v>614</v>
      </c>
      <c r="L126" s="148" t="s">
        <v>745</v>
      </c>
      <c r="M126" s="148" t="s">
        <v>927</v>
      </c>
      <c r="N126" s="152"/>
      <c r="O126" s="152" t="s">
        <v>1060</v>
      </c>
      <c r="P126" s="152" t="s">
        <v>583</v>
      </c>
      <c r="Q126" s="150" t="s">
        <v>1081</v>
      </c>
      <c r="R126" s="150" t="s">
        <v>414</v>
      </c>
      <c r="S126" s="146" t="s">
        <v>1135</v>
      </c>
    </row>
    <row r="127" spans="1:19" ht="40.5" customHeight="1">
      <c r="A127" s="146" t="s">
        <v>1062</v>
      </c>
      <c r="B127" s="147" t="s">
        <v>1061</v>
      </c>
      <c r="C127" s="148" t="s">
        <v>621</v>
      </c>
      <c r="D127" s="148" t="s">
        <v>752</v>
      </c>
      <c r="E127" s="148" t="s">
        <v>877</v>
      </c>
      <c r="F127" s="149" t="s">
        <v>1100</v>
      </c>
      <c r="G127" s="150" t="s">
        <v>1134</v>
      </c>
      <c r="H127" s="151"/>
      <c r="I127" s="152" t="s">
        <v>275</v>
      </c>
      <c r="J127" s="152">
        <v>29</v>
      </c>
      <c r="K127" s="148" t="s">
        <v>621</v>
      </c>
      <c r="L127" s="148" t="s">
        <v>752</v>
      </c>
      <c r="M127" s="148" t="s">
        <v>934</v>
      </c>
      <c r="N127" s="152"/>
      <c r="O127" s="152" t="s">
        <v>1060</v>
      </c>
      <c r="P127" s="152" t="s">
        <v>583</v>
      </c>
      <c r="Q127" s="150" t="s">
        <v>1081</v>
      </c>
      <c r="R127" s="150" t="s">
        <v>414</v>
      </c>
      <c r="S127" s="146" t="s">
        <v>1136</v>
      </c>
    </row>
    <row r="128" spans="1:19" ht="40.5" customHeight="1">
      <c r="A128" s="146" t="s">
        <v>1062</v>
      </c>
      <c r="B128" s="147" t="s">
        <v>1061</v>
      </c>
      <c r="C128" s="148" t="s">
        <v>622</v>
      </c>
      <c r="D128" s="148" t="s">
        <v>753</v>
      </c>
      <c r="E128" s="148" t="s">
        <v>877</v>
      </c>
      <c r="F128" s="149" t="s">
        <v>1100</v>
      </c>
      <c r="G128" s="150" t="s">
        <v>1134</v>
      </c>
      <c r="H128" s="151"/>
      <c r="I128" s="152" t="s">
        <v>275</v>
      </c>
      <c r="J128" s="152">
        <v>29</v>
      </c>
      <c r="K128" s="148" t="s">
        <v>622</v>
      </c>
      <c r="L128" s="148" t="s">
        <v>753</v>
      </c>
      <c r="M128" s="148" t="s">
        <v>935</v>
      </c>
      <c r="N128" s="152"/>
      <c r="O128" s="152" t="s">
        <v>1060</v>
      </c>
      <c r="P128" s="152" t="s">
        <v>583</v>
      </c>
      <c r="Q128" s="150" t="s">
        <v>1081</v>
      </c>
      <c r="R128" s="150" t="s">
        <v>414</v>
      </c>
      <c r="S128" s="146" t="s">
        <v>1135</v>
      </c>
    </row>
    <row r="129" spans="1:19" ht="42" customHeight="1">
      <c r="A129" s="146" t="s">
        <v>1062</v>
      </c>
      <c r="B129" s="147" t="s">
        <v>1061</v>
      </c>
      <c r="C129" s="148" t="s">
        <v>623</v>
      </c>
      <c r="D129" s="148" t="s">
        <v>754</v>
      </c>
      <c r="E129" s="148" t="s">
        <v>878</v>
      </c>
      <c r="F129" s="149" t="s">
        <v>1099</v>
      </c>
      <c r="G129" s="150" t="s">
        <v>1134</v>
      </c>
      <c r="H129" s="151"/>
      <c r="I129" s="152" t="s">
        <v>275</v>
      </c>
      <c r="J129" s="152">
        <v>30</v>
      </c>
      <c r="K129" s="148" t="s">
        <v>623</v>
      </c>
      <c r="L129" s="148" t="s">
        <v>754</v>
      </c>
      <c r="M129" s="148" t="s">
        <v>936</v>
      </c>
      <c r="N129" s="152"/>
      <c r="O129" s="152" t="s">
        <v>1060</v>
      </c>
      <c r="P129" s="152" t="s">
        <v>583</v>
      </c>
      <c r="Q129" s="150" t="s">
        <v>1081</v>
      </c>
      <c r="R129" s="150" t="s">
        <v>414</v>
      </c>
      <c r="S129" s="146" t="s">
        <v>1136</v>
      </c>
    </row>
    <row r="130" spans="1:19" ht="38.25" customHeight="1">
      <c r="A130" s="146" t="s">
        <v>1062</v>
      </c>
      <c r="B130" s="147" t="s">
        <v>1061</v>
      </c>
      <c r="C130" s="148" t="s">
        <v>624</v>
      </c>
      <c r="D130" s="148" t="s">
        <v>755</v>
      </c>
      <c r="E130" s="148" t="s">
        <v>878</v>
      </c>
      <c r="F130" s="149" t="s">
        <v>1099</v>
      </c>
      <c r="G130" s="150" t="s">
        <v>1134</v>
      </c>
      <c r="H130" s="151"/>
      <c r="I130" s="152" t="s">
        <v>275</v>
      </c>
      <c r="J130" s="152">
        <v>30</v>
      </c>
      <c r="K130" s="148" t="s">
        <v>624</v>
      </c>
      <c r="L130" s="148" t="s">
        <v>755</v>
      </c>
      <c r="M130" s="148" t="s">
        <v>937</v>
      </c>
      <c r="N130" s="152"/>
      <c r="O130" s="152" t="s">
        <v>1060</v>
      </c>
      <c r="P130" s="152" t="s">
        <v>583</v>
      </c>
      <c r="Q130" s="150" t="s">
        <v>1081</v>
      </c>
      <c r="R130" s="150" t="s">
        <v>414</v>
      </c>
      <c r="S130" s="146" t="s">
        <v>1135</v>
      </c>
    </row>
    <row r="131" spans="1:19" ht="40.5" customHeight="1">
      <c r="A131" s="146" t="s">
        <v>1062</v>
      </c>
      <c r="B131" s="147" t="s">
        <v>1061</v>
      </c>
      <c r="C131" s="148" t="s">
        <v>627</v>
      </c>
      <c r="D131" s="148" t="s">
        <v>758</v>
      </c>
      <c r="E131" s="148" t="s">
        <v>873</v>
      </c>
      <c r="F131" s="149" t="s">
        <v>1159</v>
      </c>
      <c r="G131" s="150" t="s">
        <v>1134</v>
      </c>
      <c r="H131" s="151"/>
      <c r="I131" s="152" t="s">
        <v>275</v>
      </c>
      <c r="J131" s="152">
        <v>28</v>
      </c>
      <c r="K131" s="148" t="s">
        <v>627</v>
      </c>
      <c r="L131" s="148" t="s">
        <v>758</v>
      </c>
      <c r="M131" s="148" t="s">
        <v>940</v>
      </c>
      <c r="N131" s="152"/>
      <c r="O131" s="152" t="s">
        <v>1060</v>
      </c>
      <c r="P131" s="152" t="s">
        <v>583</v>
      </c>
      <c r="Q131" s="150" t="s">
        <v>1081</v>
      </c>
      <c r="R131" s="150" t="s">
        <v>414</v>
      </c>
      <c r="S131" s="146" t="s">
        <v>1136</v>
      </c>
    </row>
    <row r="132" spans="1:19" ht="48" customHeight="1">
      <c r="A132" s="146" t="s">
        <v>1062</v>
      </c>
      <c r="B132" s="147" t="s">
        <v>1061</v>
      </c>
      <c r="C132" s="148" t="s">
        <v>628</v>
      </c>
      <c r="D132" s="148" t="s">
        <v>759</v>
      </c>
      <c r="E132" s="148" t="s">
        <v>871</v>
      </c>
      <c r="F132" s="149" t="s">
        <v>1158</v>
      </c>
      <c r="G132" s="150" t="s">
        <v>1134</v>
      </c>
      <c r="H132" s="151"/>
      <c r="I132" s="152" t="s">
        <v>275</v>
      </c>
      <c r="J132" s="152">
        <v>27</v>
      </c>
      <c r="K132" s="148" t="s">
        <v>628</v>
      </c>
      <c r="L132" s="148" t="s">
        <v>759</v>
      </c>
      <c r="M132" s="148" t="s">
        <v>941</v>
      </c>
      <c r="N132" s="152"/>
      <c r="O132" s="152" t="s">
        <v>1060</v>
      </c>
      <c r="P132" s="152" t="s">
        <v>583</v>
      </c>
      <c r="Q132" s="150" t="s">
        <v>1094</v>
      </c>
      <c r="R132" s="150" t="s">
        <v>414</v>
      </c>
      <c r="S132" s="146" t="s">
        <v>1136</v>
      </c>
    </row>
    <row r="133" spans="1:19" ht="45.75" customHeight="1">
      <c r="A133" s="146" t="s">
        <v>1062</v>
      </c>
      <c r="B133" s="147" t="s">
        <v>1073</v>
      </c>
      <c r="C133" s="148" t="s">
        <v>629</v>
      </c>
      <c r="D133" s="148" t="s">
        <v>760</v>
      </c>
      <c r="E133" s="148" t="s">
        <v>879</v>
      </c>
      <c r="F133" s="149" t="s">
        <v>1160</v>
      </c>
      <c r="G133" s="150" t="s">
        <v>1133</v>
      </c>
      <c r="H133" s="146" t="s">
        <v>1191</v>
      </c>
      <c r="I133" s="152" t="s">
        <v>275</v>
      </c>
      <c r="J133" s="152">
        <v>31</v>
      </c>
      <c r="K133" s="148" t="s">
        <v>629</v>
      </c>
      <c r="L133" s="148" t="s">
        <v>760</v>
      </c>
      <c r="M133" s="148" t="s">
        <v>942</v>
      </c>
      <c r="N133" s="152"/>
      <c r="O133" s="152">
        <v>48530</v>
      </c>
      <c r="P133" s="152" t="s">
        <v>583</v>
      </c>
      <c r="Q133" s="150" t="s">
        <v>1081</v>
      </c>
      <c r="R133" s="150" t="s">
        <v>414</v>
      </c>
      <c r="S133" s="146" t="s">
        <v>1082</v>
      </c>
    </row>
    <row r="134" spans="1:19" ht="39" customHeight="1">
      <c r="A134" s="146" t="s">
        <v>1062</v>
      </c>
      <c r="B134" s="147" t="s">
        <v>1073</v>
      </c>
      <c r="C134" s="148" t="s">
        <v>630</v>
      </c>
      <c r="D134" s="148" t="s">
        <v>761</v>
      </c>
      <c r="E134" s="148" t="s">
        <v>880</v>
      </c>
      <c r="F134" s="149" t="s">
        <v>1161</v>
      </c>
      <c r="G134" s="150" t="s">
        <v>1133</v>
      </c>
      <c r="H134" s="146" t="s">
        <v>1191</v>
      </c>
      <c r="I134" s="152" t="s">
        <v>275</v>
      </c>
      <c r="J134" s="152">
        <v>32</v>
      </c>
      <c r="K134" s="148" t="s">
        <v>630</v>
      </c>
      <c r="L134" s="148" t="s">
        <v>761</v>
      </c>
      <c r="M134" s="148" t="s">
        <v>943</v>
      </c>
      <c r="N134" s="152"/>
      <c r="O134" s="152">
        <v>48530</v>
      </c>
      <c r="P134" s="152" t="s">
        <v>583</v>
      </c>
      <c r="Q134" s="150" t="s">
        <v>1081</v>
      </c>
      <c r="R134" s="150" t="s">
        <v>414</v>
      </c>
      <c r="S134" s="146" t="s">
        <v>1083</v>
      </c>
    </row>
    <row r="135" spans="1:19" ht="39" customHeight="1">
      <c r="A135" s="146" t="s">
        <v>1062</v>
      </c>
      <c r="B135" s="147" t="s">
        <v>1073</v>
      </c>
      <c r="C135" s="148" t="s">
        <v>631</v>
      </c>
      <c r="D135" s="148" t="s">
        <v>762</v>
      </c>
      <c r="E135" s="343" t="s">
        <v>881</v>
      </c>
      <c r="F135" s="149" t="s">
        <v>1090</v>
      </c>
      <c r="G135" s="150" t="s">
        <v>1133</v>
      </c>
      <c r="H135" s="146" t="s">
        <v>1191</v>
      </c>
      <c r="I135" s="152" t="s">
        <v>275</v>
      </c>
      <c r="J135" s="152">
        <v>33</v>
      </c>
      <c r="K135" s="148" t="s">
        <v>631</v>
      </c>
      <c r="L135" s="148" t="s">
        <v>762</v>
      </c>
      <c r="M135" s="148" t="s">
        <v>944</v>
      </c>
      <c r="N135" s="152"/>
      <c r="O135" s="152">
        <v>48530</v>
      </c>
      <c r="P135" s="152" t="s">
        <v>583</v>
      </c>
      <c r="Q135" s="150" t="s">
        <v>1081</v>
      </c>
      <c r="R135" s="150" t="s">
        <v>414</v>
      </c>
      <c r="S135" s="146" t="s">
        <v>1084</v>
      </c>
    </row>
    <row r="136" spans="1:19" ht="40.5" customHeight="1">
      <c r="A136" s="146" t="s">
        <v>1062</v>
      </c>
      <c r="B136" s="147" t="s">
        <v>1073</v>
      </c>
      <c r="C136" s="148" t="s">
        <v>632</v>
      </c>
      <c r="D136" s="148" t="s">
        <v>763</v>
      </c>
      <c r="E136" s="148" t="s">
        <v>882</v>
      </c>
      <c r="F136" s="149" t="s">
        <v>1091</v>
      </c>
      <c r="G136" s="150" t="s">
        <v>1133</v>
      </c>
      <c r="H136" s="146" t="s">
        <v>1191</v>
      </c>
      <c r="I136" s="152" t="s">
        <v>275</v>
      </c>
      <c r="J136" s="152">
        <v>30</v>
      </c>
      <c r="K136" s="148" t="s">
        <v>632</v>
      </c>
      <c r="L136" s="148" t="s">
        <v>763</v>
      </c>
      <c r="M136" s="148" t="s">
        <v>945</v>
      </c>
      <c r="N136" s="152"/>
      <c r="O136" s="152">
        <v>48530</v>
      </c>
      <c r="P136" s="152" t="s">
        <v>583</v>
      </c>
      <c r="Q136" s="150" t="s">
        <v>1081</v>
      </c>
      <c r="R136" s="150" t="s">
        <v>414</v>
      </c>
      <c r="S136" s="146" t="s">
        <v>1085</v>
      </c>
    </row>
    <row r="137" spans="1:19" ht="39" customHeight="1">
      <c r="A137" s="146" t="s">
        <v>1062</v>
      </c>
      <c r="B137" s="147" t="s">
        <v>1073</v>
      </c>
      <c r="C137" s="148" t="s">
        <v>633</v>
      </c>
      <c r="D137" s="148" t="s">
        <v>764</v>
      </c>
      <c r="E137" s="148" t="s">
        <v>879</v>
      </c>
      <c r="F137" s="149" t="s">
        <v>1160</v>
      </c>
      <c r="G137" s="150" t="s">
        <v>1133</v>
      </c>
      <c r="H137" s="146" t="s">
        <v>1163</v>
      </c>
      <c r="I137" s="152" t="s">
        <v>275</v>
      </c>
      <c r="J137" s="152">
        <v>31</v>
      </c>
      <c r="K137" s="148" t="s">
        <v>633</v>
      </c>
      <c r="L137" s="148" t="s">
        <v>764</v>
      </c>
      <c r="M137" s="148" t="s">
        <v>946</v>
      </c>
      <c r="N137" s="152"/>
      <c r="O137" s="152">
        <v>48530</v>
      </c>
      <c r="P137" s="152" t="s">
        <v>583</v>
      </c>
      <c r="Q137" s="150" t="s">
        <v>1081</v>
      </c>
      <c r="R137" s="150" t="s">
        <v>414</v>
      </c>
      <c r="S137" s="146" t="s">
        <v>1086</v>
      </c>
    </row>
    <row r="138" spans="1:19" ht="41.25" customHeight="1">
      <c r="A138" s="146" t="s">
        <v>1062</v>
      </c>
      <c r="B138" s="147" t="s">
        <v>1073</v>
      </c>
      <c r="C138" s="148" t="s">
        <v>634</v>
      </c>
      <c r="D138" s="148" t="s">
        <v>765</v>
      </c>
      <c r="E138" s="148" t="s">
        <v>880</v>
      </c>
      <c r="F138" s="149" t="s">
        <v>1161</v>
      </c>
      <c r="G138" s="150" t="s">
        <v>1133</v>
      </c>
      <c r="H138" s="146" t="s">
        <v>1163</v>
      </c>
      <c r="I138" s="152" t="s">
        <v>275</v>
      </c>
      <c r="J138" s="152">
        <v>32</v>
      </c>
      <c r="K138" s="148" t="s">
        <v>634</v>
      </c>
      <c r="L138" s="148" t="s">
        <v>765</v>
      </c>
      <c r="M138" s="148" t="s">
        <v>947</v>
      </c>
      <c r="N138" s="152"/>
      <c r="O138" s="152">
        <v>48530</v>
      </c>
      <c r="P138" s="152" t="s">
        <v>583</v>
      </c>
      <c r="Q138" s="150" t="s">
        <v>1081</v>
      </c>
      <c r="R138" s="150" t="s">
        <v>414</v>
      </c>
      <c r="S138" s="146" t="s">
        <v>1087</v>
      </c>
    </row>
    <row r="139" spans="1:19" ht="42" customHeight="1">
      <c r="A139" s="146" t="s">
        <v>1062</v>
      </c>
      <c r="B139" s="147" t="s">
        <v>1073</v>
      </c>
      <c r="C139" s="148" t="s">
        <v>635</v>
      </c>
      <c r="D139" s="148" t="s">
        <v>766</v>
      </c>
      <c r="E139" s="148" t="s">
        <v>881</v>
      </c>
      <c r="F139" s="149" t="s">
        <v>1090</v>
      </c>
      <c r="G139" s="150" t="s">
        <v>1133</v>
      </c>
      <c r="H139" s="146" t="s">
        <v>1163</v>
      </c>
      <c r="I139" s="152" t="s">
        <v>275</v>
      </c>
      <c r="J139" s="152">
        <v>33</v>
      </c>
      <c r="K139" s="148" t="s">
        <v>635</v>
      </c>
      <c r="L139" s="148" t="s">
        <v>766</v>
      </c>
      <c r="M139" s="148" t="s">
        <v>948</v>
      </c>
      <c r="N139" s="152"/>
      <c r="O139" s="152">
        <v>48530</v>
      </c>
      <c r="P139" s="152" t="s">
        <v>583</v>
      </c>
      <c r="Q139" s="150" t="s">
        <v>1081</v>
      </c>
      <c r="R139" s="150" t="s">
        <v>414</v>
      </c>
      <c r="S139" s="146" t="s">
        <v>1088</v>
      </c>
    </row>
    <row r="140" spans="1:19" ht="42" customHeight="1">
      <c r="A140" s="146" t="s">
        <v>1062</v>
      </c>
      <c r="B140" s="147" t="s">
        <v>1073</v>
      </c>
      <c r="C140" s="148" t="s">
        <v>636</v>
      </c>
      <c r="D140" s="148" t="s">
        <v>767</v>
      </c>
      <c r="E140" s="148" t="s">
        <v>882</v>
      </c>
      <c r="F140" s="149" t="s">
        <v>1091</v>
      </c>
      <c r="G140" s="150" t="s">
        <v>1133</v>
      </c>
      <c r="H140" s="146" t="s">
        <v>1163</v>
      </c>
      <c r="I140" s="152" t="s">
        <v>275</v>
      </c>
      <c r="J140" s="152">
        <v>30</v>
      </c>
      <c r="K140" s="148" t="s">
        <v>636</v>
      </c>
      <c r="L140" s="148" t="s">
        <v>767</v>
      </c>
      <c r="M140" s="148" t="s">
        <v>949</v>
      </c>
      <c r="N140" s="152"/>
      <c r="O140" s="152">
        <v>48530</v>
      </c>
      <c r="P140" s="152" t="s">
        <v>583</v>
      </c>
      <c r="Q140" s="150" t="s">
        <v>1081</v>
      </c>
      <c r="R140" s="150" t="s">
        <v>414</v>
      </c>
      <c r="S140" s="146" t="s">
        <v>1089</v>
      </c>
    </row>
    <row r="141" spans="1:19" ht="36.75" customHeight="1">
      <c r="A141" s="146" t="s">
        <v>1062</v>
      </c>
      <c r="B141" s="147" t="s">
        <v>1061</v>
      </c>
      <c r="C141" s="148" t="s">
        <v>637</v>
      </c>
      <c r="D141" s="148" t="s">
        <v>768</v>
      </c>
      <c r="E141" s="148" t="s">
        <v>873</v>
      </c>
      <c r="F141" s="149" t="s">
        <v>1159</v>
      </c>
      <c r="G141" s="150" t="s">
        <v>1134</v>
      </c>
      <c r="H141" s="167"/>
      <c r="I141" s="152" t="s">
        <v>277</v>
      </c>
      <c r="J141" s="152">
        <v>28</v>
      </c>
      <c r="K141" s="148" t="s">
        <v>637</v>
      </c>
      <c r="L141" s="148" t="s">
        <v>768</v>
      </c>
      <c r="M141" s="148" t="s">
        <v>950</v>
      </c>
      <c r="N141" s="152">
        <v>2878648</v>
      </c>
      <c r="O141" s="152">
        <v>4850</v>
      </c>
      <c r="P141" s="152" t="s">
        <v>583</v>
      </c>
      <c r="Q141" s="150" t="s">
        <v>1081</v>
      </c>
      <c r="R141" s="150" t="s">
        <v>414</v>
      </c>
      <c r="S141" s="146" t="s">
        <v>1146</v>
      </c>
    </row>
    <row r="142" spans="1:19" ht="39">
      <c r="A142" s="146" t="s">
        <v>1062</v>
      </c>
      <c r="B142" s="147" t="s">
        <v>1073</v>
      </c>
      <c r="C142" s="148" t="s">
        <v>1657</v>
      </c>
      <c r="D142" s="148" t="s">
        <v>1658</v>
      </c>
      <c r="E142" s="148" t="s">
        <v>879</v>
      </c>
      <c r="F142" s="149" t="s">
        <v>1160</v>
      </c>
      <c r="G142" s="150" t="s">
        <v>1133</v>
      </c>
      <c r="H142" s="344" t="s">
        <v>2413</v>
      </c>
      <c r="I142" s="152" t="s">
        <v>275</v>
      </c>
      <c r="J142" s="152">
        <v>31</v>
      </c>
      <c r="K142" s="148" t="s">
        <v>1657</v>
      </c>
      <c r="L142" s="148" t="s">
        <v>1658</v>
      </c>
      <c r="M142" s="262" t="s">
        <v>1659</v>
      </c>
      <c r="N142" s="152"/>
      <c r="O142" s="152">
        <v>48530</v>
      </c>
      <c r="P142" s="152" t="s">
        <v>583</v>
      </c>
      <c r="Q142" s="150" t="s">
        <v>1081</v>
      </c>
      <c r="R142" s="150" t="s">
        <v>414</v>
      </c>
      <c r="S142" s="146" t="s">
        <v>1086</v>
      </c>
    </row>
    <row r="143" spans="1:19" ht="39">
      <c r="A143" s="146" t="s">
        <v>1062</v>
      </c>
      <c r="B143" s="147" t="s">
        <v>1073</v>
      </c>
      <c r="C143" s="262" t="s">
        <v>1660</v>
      </c>
      <c r="D143" s="262" t="s">
        <v>1661</v>
      </c>
      <c r="E143" s="148" t="s">
        <v>880</v>
      </c>
      <c r="F143" s="149" t="s">
        <v>1161</v>
      </c>
      <c r="G143" s="150" t="s">
        <v>1133</v>
      </c>
      <c r="H143" s="344" t="s">
        <v>2413</v>
      </c>
      <c r="I143" s="152" t="s">
        <v>275</v>
      </c>
      <c r="J143" s="152">
        <v>32</v>
      </c>
      <c r="K143" s="262" t="s">
        <v>1660</v>
      </c>
      <c r="L143" s="262" t="s">
        <v>1661</v>
      </c>
      <c r="M143" s="262" t="s">
        <v>1662</v>
      </c>
      <c r="N143" s="152"/>
      <c r="O143" s="152">
        <v>48530</v>
      </c>
      <c r="P143" s="152" t="s">
        <v>583</v>
      </c>
      <c r="Q143" s="150" t="s">
        <v>1081</v>
      </c>
      <c r="R143" s="150" t="s">
        <v>414</v>
      </c>
      <c r="S143" s="146" t="s">
        <v>1087</v>
      </c>
    </row>
    <row r="144" spans="1:19" ht="39">
      <c r="A144" s="146" t="s">
        <v>1062</v>
      </c>
      <c r="B144" s="147" t="s">
        <v>1073</v>
      </c>
      <c r="C144" s="262" t="s">
        <v>1663</v>
      </c>
      <c r="D144" s="262" t="s">
        <v>1664</v>
      </c>
      <c r="E144" s="148" t="s">
        <v>881</v>
      </c>
      <c r="F144" s="149" t="s">
        <v>1090</v>
      </c>
      <c r="G144" s="150" t="s">
        <v>1133</v>
      </c>
      <c r="H144" s="344" t="s">
        <v>2413</v>
      </c>
      <c r="I144" s="152" t="s">
        <v>275</v>
      </c>
      <c r="J144" s="152">
        <v>33</v>
      </c>
      <c r="K144" s="262" t="s">
        <v>1663</v>
      </c>
      <c r="L144" s="262" t="s">
        <v>1664</v>
      </c>
      <c r="M144" s="262" t="s">
        <v>1665</v>
      </c>
      <c r="N144" s="152"/>
      <c r="O144" s="152">
        <v>48530</v>
      </c>
      <c r="P144" s="152" t="s">
        <v>583</v>
      </c>
      <c r="Q144" s="150" t="s">
        <v>1081</v>
      </c>
      <c r="R144" s="150" t="s">
        <v>414</v>
      </c>
      <c r="S144" s="146" t="s">
        <v>1088</v>
      </c>
    </row>
    <row r="145" spans="1:19" ht="39">
      <c r="A145" s="146" t="s">
        <v>1062</v>
      </c>
      <c r="B145" s="147" t="s">
        <v>1073</v>
      </c>
      <c r="C145" s="262" t="s">
        <v>1666</v>
      </c>
      <c r="D145" s="262" t="s">
        <v>1667</v>
      </c>
      <c r="E145" s="148" t="s">
        <v>882</v>
      </c>
      <c r="F145" s="149" t="s">
        <v>1091</v>
      </c>
      <c r="G145" s="150" t="s">
        <v>1133</v>
      </c>
      <c r="H145" s="344" t="s">
        <v>2413</v>
      </c>
      <c r="I145" s="152" t="s">
        <v>275</v>
      </c>
      <c r="J145" s="152">
        <v>30</v>
      </c>
      <c r="K145" s="262" t="s">
        <v>1666</v>
      </c>
      <c r="L145" s="262" t="s">
        <v>1667</v>
      </c>
      <c r="M145" s="262" t="s">
        <v>1668</v>
      </c>
      <c r="N145" s="152"/>
      <c r="O145" s="152">
        <v>48530</v>
      </c>
      <c r="P145" s="152" t="s">
        <v>583</v>
      </c>
      <c r="Q145" s="150" t="s">
        <v>1081</v>
      </c>
      <c r="R145" s="150" t="s">
        <v>414</v>
      </c>
      <c r="S145" s="146" t="s">
        <v>1089</v>
      </c>
    </row>
    <row r="146" spans="1:19" ht="26.25">
      <c r="A146" s="146" t="s">
        <v>1062</v>
      </c>
      <c r="B146" s="147" t="s">
        <v>2426</v>
      </c>
      <c r="C146" s="262" t="s">
        <v>2428</v>
      </c>
      <c r="D146" s="262" t="s">
        <v>2429</v>
      </c>
      <c r="E146" s="370" t="s">
        <v>2430</v>
      </c>
      <c r="F146" s="368" t="s">
        <v>2433</v>
      </c>
      <c r="G146" s="150" t="s">
        <v>1133</v>
      </c>
      <c r="H146" s="344" t="s">
        <v>2413</v>
      </c>
      <c r="I146" s="152" t="s">
        <v>275</v>
      </c>
      <c r="J146" s="369" t="s">
        <v>294</v>
      </c>
      <c r="K146" s="262" t="s">
        <v>2428</v>
      </c>
      <c r="L146" s="262" t="s">
        <v>2429</v>
      </c>
      <c r="M146" s="262" t="s">
        <v>2427</v>
      </c>
      <c r="N146" s="369" t="s">
        <v>294</v>
      </c>
      <c r="O146" s="152">
        <v>48505</v>
      </c>
      <c r="P146" s="152" t="s">
        <v>583</v>
      </c>
      <c r="Q146" s="150" t="s">
        <v>1081</v>
      </c>
      <c r="R146" s="150" t="s">
        <v>414</v>
      </c>
      <c r="S146" s="146" t="s">
        <v>1146</v>
      </c>
    </row>
  </sheetData>
  <autoFilter ref="A2:S146">
    <filterColumn colId="3"/>
    <filterColumn colId="4"/>
    <sortState ref="A3:S141">
      <sortCondition ref="A3:A141"/>
    </sortState>
  </autoFilter>
  <sortState ref="A3:S141">
    <sortCondition sortBy="fontColor" ref="A2" dxfId="0"/>
  </sortState>
  <mergeCells count="1">
    <mergeCell ref="K1:P1"/>
  </mergeCells>
  <pageMargins left="0.7" right="0.7" top="0.75" bottom="0.75" header="0.3" footer="0.3"/>
  <pageSetup orientation="portrait" horizontalDpi="1200" verticalDpi="1200"/>
</worksheet>
</file>

<file path=xl/worksheets/sheet3.xml><?xml version="1.0" encoding="utf-8"?>
<worksheet xmlns="http://schemas.openxmlformats.org/spreadsheetml/2006/main" xmlns:r="http://schemas.openxmlformats.org/officeDocument/2006/relationships">
  <sheetPr codeName="Sheet4"/>
  <dimension ref="A1:G166"/>
  <sheetViews>
    <sheetView zoomScale="90" zoomScaleNormal="90" workbookViewId="0">
      <selection activeCell="C9" sqref="C9"/>
    </sheetView>
  </sheetViews>
  <sheetFormatPr defaultRowHeight="12.75"/>
  <cols>
    <col min="1" max="1" width="15" bestFit="1" customWidth="1"/>
    <col min="2" max="2" width="12.140625" bestFit="1" customWidth="1"/>
    <col min="3" max="3" width="159.85546875" customWidth="1"/>
  </cols>
  <sheetData>
    <row r="1" spans="1:7">
      <c r="A1" s="298" t="s">
        <v>2353</v>
      </c>
      <c r="B1" s="298" t="s">
        <v>2352</v>
      </c>
      <c r="C1" s="298" t="s">
        <v>2354</v>
      </c>
    </row>
    <row r="2" spans="1:7">
      <c r="A2" s="299" t="s">
        <v>2355</v>
      </c>
      <c r="B2" s="300">
        <v>40984</v>
      </c>
      <c r="C2" s="298" t="s">
        <v>2356</v>
      </c>
    </row>
    <row r="3" spans="1:7" ht="26.25">
      <c r="A3" s="299" t="s">
        <v>2381</v>
      </c>
      <c r="B3" s="325">
        <v>41047</v>
      </c>
      <c r="C3" s="327" t="s">
        <v>2382</v>
      </c>
      <c r="F3" s="326"/>
      <c r="G3" s="326"/>
    </row>
    <row r="4" spans="1:7" ht="15">
      <c r="A4" s="299" t="s">
        <v>2409</v>
      </c>
      <c r="B4" s="325">
        <v>41059</v>
      </c>
      <c r="C4" s="298" t="s">
        <v>2410</v>
      </c>
      <c r="F4" s="326"/>
      <c r="G4" s="326"/>
    </row>
    <row r="5" spans="1:7" ht="15">
      <c r="A5" s="299" t="s">
        <v>2411</v>
      </c>
      <c r="B5" s="325">
        <v>41072</v>
      </c>
      <c r="C5" s="298" t="s">
        <v>2412</v>
      </c>
      <c r="F5" s="326"/>
      <c r="G5" s="326"/>
    </row>
    <row r="6" spans="1:7" ht="15">
      <c r="A6" s="299"/>
      <c r="B6" s="325">
        <v>41100</v>
      </c>
      <c r="C6" s="298" t="s">
        <v>2414</v>
      </c>
      <c r="F6" s="326"/>
      <c r="G6" s="326"/>
    </row>
    <row r="7" spans="1:7" ht="15">
      <c r="A7" s="299"/>
      <c r="B7" s="325">
        <v>41106</v>
      </c>
      <c r="C7" s="298" t="s">
        <v>2416</v>
      </c>
      <c r="F7" s="326"/>
      <c r="G7" s="326"/>
    </row>
    <row r="8" spans="1:7" ht="15">
      <c r="A8" s="299"/>
      <c r="B8" s="325">
        <v>41156</v>
      </c>
      <c r="C8" s="298" t="s">
        <v>2437</v>
      </c>
      <c r="F8" s="326"/>
      <c r="G8" s="326"/>
    </row>
    <row r="9" spans="1:7" ht="15">
      <c r="A9" s="299"/>
      <c r="F9" s="326"/>
      <c r="G9" s="326"/>
    </row>
    <row r="10" spans="1:7" ht="15">
      <c r="A10" s="299"/>
      <c r="F10" s="326"/>
      <c r="G10" s="326"/>
    </row>
    <row r="11" spans="1:7" ht="15">
      <c r="A11" s="299"/>
      <c r="G11" s="326"/>
    </row>
    <row r="12" spans="1:7" ht="15">
      <c r="A12" s="299"/>
      <c r="G12" s="326"/>
    </row>
    <row r="13" spans="1:7" ht="15">
      <c r="A13" s="299"/>
      <c r="G13" s="326"/>
    </row>
    <row r="14" spans="1:7" ht="15">
      <c r="A14" s="299"/>
      <c r="G14" s="326"/>
    </row>
    <row r="15" spans="1:7" ht="15">
      <c r="A15" s="299"/>
      <c r="G15" s="326"/>
    </row>
    <row r="16" spans="1:7">
      <c r="A16" s="299"/>
    </row>
    <row r="17" spans="1:1">
      <c r="A17" s="299"/>
    </row>
    <row r="18" spans="1:1">
      <c r="A18" s="299"/>
    </row>
    <row r="19" spans="1:1">
      <c r="A19" s="299"/>
    </row>
    <row r="20" spans="1:1">
      <c r="A20" s="299"/>
    </row>
    <row r="21" spans="1:1">
      <c r="A21" s="299"/>
    </row>
    <row r="22" spans="1:1">
      <c r="A22" s="299"/>
    </row>
    <row r="23" spans="1:1">
      <c r="A23" s="299"/>
    </row>
    <row r="24" spans="1:1">
      <c r="A24" s="299"/>
    </row>
    <row r="25" spans="1:1">
      <c r="A25" s="299"/>
    </row>
    <row r="26" spans="1:1">
      <c r="A26" s="299"/>
    </row>
    <row r="27" spans="1:1">
      <c r="A27" s="299"/>
    </row>
    <row r="28" spans="1:1">
      <c r="A28" s="299"/>
    </row>
    <row r="29" spans="1:1">
      <c r="A29" s="299"/>
    </row>
    <row r="30" spans="1:1">
      <c r="A30" s="299"/>
    </row>
    <row r="31" spans="1:1">
      <c r="A31" s="299"/>
    </row>
    <row r="32" spans="1:1">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1">
      <c r="A49" s="299"/>
    </row>
    <row r="50" spans="1:1">
      <c r="A50" s="299"/>
    </row>
    <row r="51" spans="1:1">
      <c r="A51" s="299"/>
    </row>
    <row r="52" spans="1:1">
      <c r="A52" s="299"/>
    </row>
    <row r="53" spans="1:1">
      <c r="A53" s="299"/>
    </row>
    <row r="54" spans="1:1">
      <c r="A54" s="299"/>
    </row>
    <row r="55" spans="1:1">
      <c r="A55" s="299"/>
    </row>
    <row r="56" spans="1:1">
      <c r="A56" s="299"/>
    </row>
    <row r="57" spans="1:1">
      <c r="A57" s="299"/>
    </row>
    <row r="58" spans="1:1">
      <c r="A58" s="299"/>
    </row>
    <row r="59" spans="1:1">
      <c r="A59" s="299"/>
    </row>
    <row r="60" spans="1:1">
      <c r="A60" s="299"/>
    </row>
    <row r="61" spans="1:1">
      <c r="A61" s="299"/>
    </row>
    <row r="62" spans="1:1">
      <c r="A62" s="299"/>
    </row>
    <row r="63" spans="1:1">
      <c r="A63" s="299"/>
    </row>
    <row r="64" spans="1:1">
      <c r="A64" s="299"/>
    </row>
    <row r="65" spans="1:1">
      <c r="A65" s="299"/>
    </row>
    <row r="66" spans="1:1">
      <c r="A66" s="299"/>
    </row>
    <row r="67" spans="1:1">
      <c r="A67" s="299"/>
    </row>
    <row r="68" spans="1:1">
      <c r="A68" s="299"/>
    </row>
    <row r="69" spans="1:1">
      <c r="A69" s="299"/>
    </row>
    <row r="70" spans="1:1">
      <c r="A70" s="299"/>
    </row>
    <row r="71" spans="1:1">
      <c r="A71" s="299"/>
    </row>
    <row r="72" spans="1:1">
      <c r="A72" s="299"/>
    </row>
    <row r="73" spans="1:1">
      <c r="A73" s="299"/>
    </row>
    <row r="74" spans="1:1">
      <c r="A74" s="299"/>
    </row>
    <row r="75" spans="1:1">
      <c r="A75" s="299"/>
    </row>
    <row r="76" spans="1:1">
      <c r="A76" s="299"/>
    </row>
    <row r="77" spans="1:1">
      <c r="A77" s="299"/>
    </row>
    <row r="78" spans="1:1">
      <c r="A78" s="299"/>
    </row>
    <row r="79" spans="1:1">
      <c r="A79" s="299"/>
    </row>
    <row r="80" spans="1:1">
      <c r="A80" s="299"/>
    </row>
    <row r="81" spans="1:1">
      <c r="A81" s="299"/>
    </row>
    <row r="82" spans="1:1">
      <c r="A82" s="299"/>
    </row>
    <row r="83" spans="1:1">
      <c r="A83" s="299"/>
    </row>
    <row r="84" spans="1:1">
      <c r="A84" s="299"/>
    </row>
    <row r="85" spans="1:1">
      <c r="A85" s="299"/>
    </row>
    <row r="86" spans="1:1">
      <c r="A86" s="299"/>
    </row>
    <row r="87" spans="1:1">
      <c r="A87" s="299"/>
    </row>
    <row r="88" spans="1:1">
      <c r="A88" s="299"/>
    </row>
    <row r="89" spans="1:1">
      <c r="A89" s="299"/>
    </row>
    <row r="90" spans="1:1">
      <c r="A90" s="299"/>
    </row>
    <row r="91" spans="1:1">
      <c r="A91" s="299"/>
    </row>
    <row r="92" spans="1:1">
      <c r="A92" s="299"/>
    </row>
    <row r="93" spans="1:1">
      <c r="A93" s="299"/>
    </row>
    <row r="94" spans="1:1">
      <c r="A94" s="299"/>
    </row>
    <row r="95" spans="1:1">
      <c r="A95" s="299"/>
    </row>
    <row r="96" spans="1:1">
      <c r="A96" s="299"/>
    </row>
    <row r="97" spans="1:1">
      <c r="A97" s="299"/>
    </row>
    <row r="98" spans="1:1">
      <c r="A98" s="299"/>
    </row>
    <row r="99" spans="1:1">
      <c r="A99" s="299"/>
    </row>
    <row r="100" spans="1:1">
      <c r="A100" s="299"/>
    </row>
    <row r="101" spans="1:1">
      <c r="A101" s="299"/>
    </row>
    <row r="102" spans="1:1">
      <c r="A102" s="299"/>
    </row>
    <row r="103" spans="1:1">
      <c r="A103" s="299"/>
    </row>
    <row r="104" spans="1:1">
      <c r="A104" s="299"/>
    </row>
    <row r="105" spans="1:1">
      <c r="A105" s="299"/>
    </row>
    <row r="106" spans="1:1">
      <c r="A106" s="299"/>
    </row>
    <row r="107" spans="1:1">
      <c r="A107" s="299"/>
    </row>
    <row r="108" spans="1:1">
      <c r="A108" s="299"/>
    </row>
    <row r="109" spans="1:1">
      <c r="A109" s="299"/>
    </row>
    <row r="110" spans="1:1">
      <c r="A110" s="299"/>
    </row>
    <row r="111" spans="1:1">
      <c r="A111" s="299"/>
    </row>
    <row r="112" spans="1:1">
      <c r="A112" s="299"/>
    </row>
    <row r="113" spans="1:1">
      <c r="A113" s="299"/>
    </row>
    <row r="114" spans="1:1">
      <c r="A114" s="299"/>
    </row>
    <row r="115" spans="1:1">
      <c r="A115" s="299"/>
    </row>
    <row r="116" spans="1:1">
      <c r="A116" s="299"/>
    </row>
    <row r="117" spans="1:1">
      <c r="A117" s="299"/>
    </row>
    <row r="118" spans="1:1">
      <c r="A118" s="299"/>
    </row>
    <row r="119" spans="1:1">
      <c r="A119" s="299"/>
    </row>
    <row r="120" spans="1:1">
      <c r="A120" s="299"/>
    </row>
    <row r="121" spans="1:1">
      <c r="A121" s="299"/>
    </row>
    <row r="122" spans="1:1">
      <c r="A122" s="299"/>
    </row>
    <row r="123" spans="1:1">
      <c r="A123" s="299"/>
    </row>
    <row r="124" spans="1:1">
      <c r="A124" s="299"/>
    </row>
    <row r="125" spans="1:1">
      <c r="A125" s="299"/>
    </row>
    <row r="126" spans="1:1">
      <c r="A126" s="299"/>
    </row>
    <row r="127" spans="1:1">
      <c r="A127" s="299"/>
    </row>
    <row r="128" spans="1:1">
      <c r="A128" s="299"/>
    </row>
    <row r="129" spans="1:1">
      <c r="A129" s="299"/>
    </row>
    <row r="130" spans="1:1">
      <c r="A130" s="299"/>
    </row>
    <row r="131" spans="1:1">
      <c r="A131" s="299"/>
    </row>
    <row r="132" spans="1:1">
      <c r="A132" s="299"/>
    </row>
    <row r="133" spans="1:1">
      <c r="A133" s="299"/>
    </row>
    <row r="134" spans="1:1">
      <c r="A134" s="299"/>
    </row>
    <row r="135" spans="1:1">
      <c r="A135" s="299"/>
    </row>
    <row r="136" spans="1:1">
      <c r="A136" s="299"/>
    </row>
    <row r="137" spans="1:1">
      <c r="A137" s="299"/>
    </row>
    <row r="138" spans="1:1">
      <c r="A138" s="299"/>
    </row>
    <row r="139" spans="1:1">
      <c r="A139" s="299"/>
    </row>
    <row r="140" spans="1:1">
      <c r="A140" s="299"/>
    </row>
    <row r="141" spans="1:1">
      <c r="A141" s="299"/>
    </row>
    <row r="142" spans="1:1">
      <c r="A142" s="299"/>
    </row>
    <row r="143" spans="1:1">
      <c r="A143" s="299"/>
    </row>
    <row r="144" spans="1:1">
      <c r="A144" s="299"/>
    </row>
    <row r="145" spans="1:1">
      <c r="A145" s="299"/>
    </row>
    <row r="146" spans="1:1">
      <c r="A146" s="299"/>
    </row>
    <row r="147" spans="1:1">
      <c r="A147" s="299"/>
    </row>
    <row r="148" spans="1:1">
      <c r="A148" s="299"/>
    </row>
    <row r="149" spans="1:1">
      <c r="A149" s="299"/>
    </row>
    <row r="150" spans="1:1">
      <c r="A150" s="299"/>
    </row>
    <row r="151" spans="1:1">
      <c r="A151" s="299"/>
    </row>
    <row r="152" spans="1:1">
      <c r="A152" s="299"/>
    </row>
    <row r="153" spans="1:1">
      <c r="A153" s="299"/>
    </row>
    <row r="154" spans="1:1">
      <c r="A154" s="299"/>
    </row>
    <row r="155" spans="1:1">
      <c r="A155" s="299"/>
    </row>
    <row r="156" spans="1:1">
      <c r="A156" s="299"/>
    </row>
    <row r="157" spans="1:1">
      <c r="A157" s="299"/>
    </row>
    <row r="158" spans="1:1">
      <c r="A158" s="299"/>
    </row>
    <row r="159" spans="1:1">
      <c r="A159" s="299"/>
    </row>
    <row r="160" spans="1:1">
      <c r="A160" s="299"/>
    </row>
    <row r="161" spans="1:1">
      <c r="A161" s="299"/>
    </row>
    <row r="162" spans="1:1">
      <c r="A162" s="299"/>
    </row>
    <row r="163" spans="1:1">
      <c r="A163" s="299"/>
    </row>
    <row r="164" spans="1:1">
      <c r="A164" s="299"/>
    </row>
    <row r="165" spans="1:1">
      <c r="A165" s="299"/>
    </row>
    <row r="166" spans="1:1">
      <c r="A166" s="29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8"/>
  <dimension ref="B11"/>
  <sheetViews>
    <sheetView workbookViewId="0">
      <selection activeCell="I19" sqref="I19"/>
    </sheetView>
  </sheetViews>
  <sheetFormatPr defaultRowHeight="12.75"/>
  <cols>
    <col min="1" max="1" width="9.140625" customWidth="1"/>
    <col min="2" max="2" width="10.28515625" customWidth="1"/>
    <col min="3" max="3" width="9.5703125" customWidth="1"/>
    <col min="5" max="5" width="9.85546875" customWidth="1"/>
    <col min="6" max="6" width="10" customWidth="1"/>
  </cols>
  <sheetData>
    <row r="11" spans="2:2">
      <c r="B11" s="291" t="s">
        <v>2174</v>
      </c>
    </row>
  </sheetData>
  <hyperlinks>
    <hyperlink ref="B11" r:id="rId1"/>
  </hyperlinks>
  <pageMargins left="0.7" right="0.7" top="0.75" bottom="0.75" header="0.3" footer="0.3"/>
  <pageSetup orientation="portrait"/>
  <legacyDrawing r:id="rId2"/>
</worksheet>
</file>

<file path=xl/worksheets/sheet5.xml><?xml version="1.0" encoding="utf-8"?>
<worksheet xmlns="http://schemas.openxmlformats.org/spreadsheetml/2006/main" xmlns:r="http://schemas.openxmlformats.org/officeDocument/2006/relationships">
  <sheetPr codeName="Sheet2"/>
  <dimension ref="A1:BG66"/>
  <sheetViews>
    <sheetView workbookViewId="0"/>
  </sheetViews>
  <sheetFormatPr defaultRowHeight="12.75"/>
  <cols>
    <col min="1" max="1" width="21.140625" bestFit="1" customWidth="1"/>
    <col min="2" max="2" width="33" bestFit="1" customWidth="1"/>
    <col min="3" max="3" width="28" bestFit="1" customWidth="1"/>
    <col min="4" max="4" width="18.28515625" bestFit="1" customWidth="1"/>
    <col min="5" max="5" width="28.5703125" bestFit="1" customWidth="1"/>
    <col min="6" max="6" width="6.5703125" customWidth="1"/>
    <col min="7" max="7" width="7.42578125" customWidth="1"/>
    <col min="8" max="8" width="19.7109375" bestFit="1" customWidth="1"/>
    <col min="9" max="9" width="8.28515625" customWidth="1"/>
    <col min="10" max="10" width="7" customWidth="1"/>
    <col min="11" max="11" width="3.28515625" customWidth="1"/>
    <col min="12" max="12" width="8" customWidth="1"/>
    <col min="13" max="13" width="10.42578125" bestFit="1" customWidth="1"/>
    <col min="14" max="14" width="8.5703125" customWidth="1"/>
    <col min="15" max="17" width="8" customWidth="1"/>
    <col min="18" max="18" width="9.85546875" customWidth="1"/>
    <col min="19" max="19" width="9.7109375" customWidth="1"/>
    <col min="20" max="20" width="8" customWidth="1"/>
    <col min="21" max="21" width="8.7109375" customWidth="1"/>
    <col min="22" max="22" width="9" customWidth="1"/>
    <col min="23" max="23" width="10" customWidth="1"/>
    <col min="24" max="24" width="8.5703125" customWidth="1"/>
    <col min="25" max="25" width="9" customWidth="1"/>
    <col min="26" max="26" width="8.5703125" customWidth="1"/>
    <col min="27" max="27" width="9.42578125" customWidth="1"/>
    <col min="28" max="28" width="10.140625" customWidth="1"/>
    <col min="29" max="29" width="8.5703125" customWidth="1"/>
    <col min="30" max="31" width="8.42578125" customWidth="1"/>
    <col min="32" max="32" width="9.42578125" customWidth="1"/>
    <col min="33" max="33" width="8.42578125" customWidth="1"/>
  </cols>
  <sheetData>
    <row r="1" spans="1:59" ht="20.25">
      <c r="A1" s="68" t="s">
        <v>348</v>
      </c>
    </row>
    <row r="3" spans="1:59">
      <c r="A3" s="57" t="s">
        <v>332</v>
      </c>
      <c r="K3" s="52"/>
      <c r="L3" s="52"/>
      <c r="M3" s="52"/>
      <c r="N3" s="52"/>
      <c r="O3" s="58"/>
      <c r="P3" s="58"/>
      <c r="Q3" s="58"/>
      <c r="R3" s="58"/>
      <c r="S3" s="58"/>
      <c r="T3" s="58"/>
      <c r="U3" s="58"/>
      <c r="V3" s="58"/>
      <c r="W3" s="58"/>
      <c r="X3" s="58"/>
      <c r="Y3" s="58"/>
      <c r="Z3" s="58"/>
      <c r="AA3" s="58"/>
      <c r="AB3" s="58"/>
      <c r="AC3" s="58"/>
      <c r="AD3" s="58"/>
      <c r="AE3" s="58"/>
      <c r="AF3" s="58"/>
      <c r="AG3" s="58"/>
    </row>
    <row r="4" spans="1:59" ht="45">
      <c r="A4" t="s">
        <v>475</v>
      </c>
      <c r="K4" s="52"/>
      <c r="L4" s="59" t="s">
        <v>476</v>
      </c>
      <c r="M4" s="59" t="s">
        <v>331</v>
      </c>
      <c r="N4" s="59" t="s">
        <v>36</v>
      </c>
      <c r="O4" s="59" t="s">
        <v>477</v>
      </c>
      <c r="P4" s="59" t="s">
        <v>478</v>
      </c>
      <c r="Q4" s="59" t="s">
        <v>479</v>
      </c>
      <c r="R4" s="59" t="s">
        <v>480</v>
      </c>
      <c r="S4" s="59" t="s">
        <v>481</v>
      </c>
      <c r="T4" s="59" t="s">
        <v>482</v>
      </c>
      <c r="U4" s="59" t="s">
        <v>37</v>
      </c>
      <c r="V4" s="59" t="s">
        <v>523</v>
      </c>
      <c r="W4" s="59" t="s">
        <v>483</v>
      </c>
      <c r="X4" s="59" t="s">
        <v>484</v>
      </c>
      <c r="Y4" s="59" t="s">
        <v>345</v>
      </c>
      <c r="Z4" s="59" t="s">
        <v>485</v>
      </c>
      <c r="AA4" s="59" t="s">
        <v>486</v>
      </c>
      <c r="AB4" s="59" t="s">
        <v>487</v>
      </c>
      <c r="AC4" s="59" t="s">
        <v>488</v>
      </c>
      <c r="AD4" s="59" t="s">
        <v>489</v>
      </c>
      <c r="AE4" s="59" t="s">
        <v>490</v>
      </c>
      <c r="AF4" s="59" t="s">
        <v>491</v>
      </c>
      <c r="AG4" s="59" t="s">
        <v>38</v>
      </c>
    </row>
    <row r="5" spans="1:59">
      <c r="A5" s="60" t="s">
        <v>492</v>
      </c>
      <c r="B5" s="61" t="s">
        <v>349</v>
      </c>
      <c r="C5" s="61" t="s">
        <v>350</v>
      </c>
      <c r="D5" s="61" t="s">
        <v>493</v>
      </c>
      <c r="E5" s="61" t="s">
        <v>494</v>
      </c>
      <c r="F5" s="60" t="s">
        <v>495</v>
      </c>
      <c r="G5" s="60" t="s">
        <v>496</v>
      </c>
      <c r="H5" s="62" t="s">
        <v>497</v>
      </c>
      <c r="I5" s="61" t="s">
        <v>498</v>
      </c>
      <c r="J5" s="61">
        <v>4922520</v>
      </c>
      <c r="K5" s="63" t="s">
        <v>499</v>
      </c>
      <c r="L5" s="63">
        <v>3426369</v>
      </c>
      <c r="M5" s="63" t="s">
        <v>353</v>
      </c>
      <c r="N5" s="63" t="s">
        <v>354</v>
      </c>
      <c r="O5" s="63">
        <v>4094908</v>
      </c>
      <c r="P5" s="63">
        <v>4094909</v>
      </c>
      <c r="Q5" s="63">
        <v>4094926</v>
      </c>
      <c r="R5" s="63">
        <v>4094911</v>
      </c>
      <c r="S5" s="63">
        <v>4094912</v>
      </c>
      <c r="T5" s="63">
        <v>4094913</v>
      </c>
      <c r="U5" s="63" t="s">
        <v>355</v>
      </c>
      <c r="V5" s="63">
        <v>4094914</v>
      </c>
      <c r="W5" s="63">
        <v>4094915</v>
      </c>
      <c r="X5" s="63" t="s">
        <v>500</v>
      </c>
      <c r="Y5" s="63" t="s">
        <v>356</v>
      </c>
      <c r="Z5" s="63" t="s">
        <v>501</v>
      </c>
      <c r="AA5" s="63" t="s">
        <v>502</v>
      </c>
      <c r="AB5" s="63">
        <v>4094901</v>
      </c>
      <c r="AC5" s="63">
        <v>4094925</v>
      </c>
      <c r="AD5" s="63">
        <v>4094943</v>
      </c>
      <c r="AE5" s="63">
        <v>4094944</v>
      </c>
      <c r="AF5" s="63">
        <v>4094941</v>
      </c>
      <c r="AG5" s="63" t="s">
        <v>357</v>
      </c>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row>
    <row r="6" spans="1:59">
      <c r="A6" s="60" t="s">
        <v>492</v>
      </c>
      <c r="B6" s="61" t="s">
        <v>349</v>
      </c>
      <c r="C6" s="61" t="s">
        <v>350</v>
      </c>
      <c r="D6" s="61" t="s">
        <v>493</v>
      </c>
      <c r="E6" s="61" t="s">
        <v>494</v>
      </c>
      <c r="F6" s="60" t="s">
        <v>495</v>
      </c>
      <c r="G6" s="60" t="s">
        <v>496</v>
      </c>
      <c r="H6" s="62" t="s">
        <v>503</v>
      </c>
      <c r="I6" s="61" t="s">
        <v>498</v>
      </c>
      <c r="J6" s="61">
        <v>4922571</v>
      </c>
      <c r="K6" s="63" t="s">
        <v>499</v>
      </c>
      <c r="L6" s="63">
        <v>3426369</v>
      </c>
      <c r="M6" s="63" t="s">
        <v>360</v>
      </c>
      <c r="N6" s="63" t="s">
        <v>361</v>
      </c>
      <c r="O6" s="63">
        <v>4094908</v>
      </c>
      <c r="P6" s="63">
        <v>4094909</v>
      </c>
      <c r="Q6" s="63">
        <v>4094926</v>
      </c>
      <c r="R6" s="63">
        <v>4094931</v>
      </c>
      <c r="S6" s="63">
        <v>4094912</v>
      </c>
      <c r="T6" s="63">
        <v>4094913</v>
      </c>
      <c r="U6" s="63" t="s">
        <v>362</v>
      </c>
      <c r="V6" s="63">
        <v>4094914</v>
      </c>
      <c r="W6" s="63">
        <v>4094915</v>
      </c>
      <c r="X6" s="63" t="s">
        <v>500</v>
      </c>
      <c r="Y6" s="63" t="s">
        <v>363</v>
      </c>
      <c r="Z6" s="63" t="s">
        <v>501</v>
      </c>
      <c r="AA6" s="63" t="s">
        <v>502</v>
      </c>
      <c r="AB6" s="63">
        <v>4094901</v>
      </c>
      <c r="AC6" s="63">
        <v>4094925</v>
      </c>
      <c r="AD6" s="63">
        <v>4094943</v>
      </c>
      <c r="AE6" s="63">
        <v>4094944</v>
      </c>
      <c r="AF6" s="63">
        <v>4094941</v>
      </c>
      <c r="AG6" s="63" t="s">
        <v>364</v>
      </c>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row>
    <row r="7" spans="1:59">
      <c r="A7" s="60" t="s">
        <v>492</v>
      </c>
      <c r="B7" s="61" t="s">
        <v>349</v>
      </c>
      <c r="C7" s="61" t="s">
        <v>350</v>
      </c>
      <c r="D7" s="61" t="s">
        <v>493</v>
      </c>
      <c r="E7" s="61" t="s">
        <v>494</v>
      </c>
      <c r="F7" s="60" t="s">
        <v>504</v>
      </c>
      <c r="G7" s="60" t="s">
        <v>505</v>
      </c>
      <c r="H7" s="62" t="s">
        <v>506</v>
      </c>
      <c r="I7" s="61" t="s">
        <v>498</v>
      </c>
      <c r="J7" s="61">
        <v>4922572</v>
      </c>
      <c r="K7" s="63" t="s">
        <v>499</v>
      </c>
      <c r="L7" s="63">
        <v>3426369</v>
      </c>
      <c r="M7" s="63" t="s">
        <v>507</v>
      </c>
      <c r="N7" s="63" t="s">
        <v>366</v>
      </c>
      <c r="O7" s="63">
        <v>4094908</v>
      </c>
      <c r="P7" s="63">
        <v>4094909</v>
      </c>
      <c r="Q7" s="63">
        <v>4094926</v>
      </c>
      <c r="R7" s="63">
        <v>4094932</v>
      </c>
      <c r="S7" s="63">
        <v>4094912</v>
      </c>
      <c r="T7" s="63">
        <v>4094913</v>
      </c>
      <c r="U7" s="63" t="s">
        <v>367</v>
      </c>
      <c r="V7" s="63">
        <v>4094914</v>
      </c>
      <c r="W7" s="63">
        <v>4094915</v>
      </c>
      <c r="X7" s="63" t="s">
        <v>500</v>
      </c>
      <c r="Y7" s="63" t="s">
        <v>368</v>
      </c>
      <c r="Z7" s="63" t="s">
        <v>501</v>
      </c>
      <c r="AA7" s="63" t="s">
        <v>502</v>
      </c>
      <c r="AB7" s="63">
        <v>4094901</v>
      </c>
      <c r="AC7" s="63">
        <v>4094925</v>
      </c>
      <c r="AD7" s="63">
        <v>4094943</v>
      </c>
      <c r="AE7" s="63">
        <v>4094944</v>
      </c>
      <c r="AF7" s="63">
        <v>4094941</v>
      </c>
      <c r="AG7" s="63" t="s">
        <v>369</v>
      </c>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row>
    <row r="8" spans="1:59">
      <c r="A8" s="60" t="s">
        <v>492</v>
      </c>
      <c r="B8" s="61" t="s">
        <v>349</v>
      </c>
      <c r="C8" s="61" t="s">
        <v>350</v>
      </c>
      <c r="D8" s="61" t="s">
        <v>493</v>
      </c>
      <c r="E8" s="61" t="s">
        <v>494</v>
      </c>
      <c r="F8" s="60" t="s">
        <v>504</v>
      </c>
      <c r="G8" s="60" t="s">
        <v>505</v>
      </c>
      <c r="H8" s="62" t="s">
        <v>508</v>
      </c>
      <c r="I8" s="61" t="s">
        <v>498</v>
      </c>
      <c r="J8" s="61">
        <v>4922573</v>
      </c>
      <c r="K8" s="63" t="s">
        <v>499</v>
      </c>
      <c r="L8" s="63">
        <v>3426369</v>
      </c>
      <c r="M8" s="63" t="s">
        <v>371</v>
      </c>
      <c r="N8" s="63" t="s">
        <v>372</v>
      </c>
      <c r="O8" s="63">
        <v>4094908</v>
      </c>
      <c r="P8" s="63">
        <v>4094909</v>
      </c>
      <c r="Q8" s="63">
        <v>4094926</v>
      </c>
      <c r="R8" s="63">
        <v>4094933</v>
      </c>
      <c r="S8" s="63">
        <v>4094912</v>
      </c>
      <c r="T8" s="63">
        <v>4094913</v>
      </c>
      <c r="U8" s="63" t="s">
        <v>373</v>
      </c>
      <c r="V8" s="63">
        <v>4094914</v>
      </c>
      <c r="W8" s="63">
        <v>4094915</v>
      </c>
      <c r="X8" s="63" t="s">
        <v>500</v>
      </c>
      <c r="Y8" s="63" t="s">
        <v>374</v>
      </c>
      <c r="Z8" s="63" t="s">
        <v>501</v>
      </c>
      <c r="AA8" s="63" t="s">
        <v>502</v>
      </c>
      <c r="AB8" s="63">
        <v>4094901</v>
      </c>
      <c r="AC8" s="63">
        <v>4094925</v>
      </c>
      <c r="AD8" s="63">
        <v>4094943</v>
      </c>
      <c r="AE8" s="63">
        <v>4094944</v>
      </c>
      <c r="AF8" s="63">
        <v>4094941</v>
      </c>
      <c r="AG8" s="63" t="s">
        <v>375</v>
      </c>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row>
    <row r="9" spans="1:59">
      <c r="A9" s="60" t="s">
        <v>492</v>
      </c>
      <c r="B9" s="61" t="s">
        <v>509</v>
      </c>
      <c r="C9" s="61" t="s">
        <v>510</v>
      </c>
      <c r="D9" s="61" t="s">
        <v>493</v>
      </c>
      <c r="E9" s="61" t="s">
        <v>494</v>
      </c>
      <c r="F9" s="60" t="s">
        <v>495</v>
      </c>
      <c r="G9" s="60" t="s">
        <v>496</v>
      </c>
      <c r="H9" s="62" t="s">
        <v>497</v>
      </c>
      <c r="I9" s="61" t="s">
        <v>498</v>
      </c>
      <c r="J9" s="61" t="s">
        <v>376</v>
      </c>
      <c r="K9" s="63" t="s">
        <v>499</v>
      </c>
      <c r="L9" s="63">
        <v>3426369</v>
      </c>
      <c r="M9" s="63" t="s">
        <v>511</v>
      </c>
      <c r="N9" s="63" t="s">
        <v>442</v>
      </c>
      <c r="O9" s="63">
        <v>4094908</v>
      </c>
      <c r="P9" s="63">
        <v>4094909</v>
      </c>
      <c r="Q9" s="63">
        <v>4094926</v>
      </c>
      <c r="R9" s="63">
        <v>4094911</v>
      </c>
      <c r="S9" s="63">
        <v>4094912</v>
      </c>
      <c r="T9" s="63">
        <v>4922314</v>
      </c>
      <c r="U9" s="63" t="s">
        <v>446</v>
      </c>
      <c r="V9" s="63">
        <v>4094914</v>
      </c>
      <c r="W9" s="63">
        <v>4922313</v>
      </c>
      <c r="X9" s="63" t="s">
        <v>512</v>
      </c>
      <c r="Y9" s="63" t="s">
        <v>451</v>
      </c>
      <c r="Z9" s="63" t="s">
        <v>501</v>
      </c>
      <c r="AA9" s="63" t="s">
        <v>502</v>
      </c>
      <c r="AB9" s="63">
        <v>4094901</v>
      </c>
      <c r="AC9" s="63">
        <v>4094925</v>
      </c>
      <c r="AD9" s="63">
        <v>4094943</v>
      </c>
      <c r="AE9" s="63">
        <v>4094944</v>
      </c>
      <c r="AF9" s="63">
        <v>4094941</v>
      </c>
      <c r="AG9" s="63" t="s">
        <v>452</v>
      </c>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row>
    <row r="10" spans="1:59">
      <c r="A10" s="60" t="s">
        <v>492</v>
      </c>
      <c r="B10" s="61" t="s">
        <v>509</v>
      </c>
      <c r="C10" s="61" t="s">
        <v>510</v>
      </c>
      <c r="D10" s="61" t="s">
        <v>493</v>
      </c>
      <c r="E10" s="61" t="s">
        <v>494</v>
      </c>
      <c r="F10" s="60" t="s">
        <v>495</v>
      </c>
      <c r="G10" s="60" t="s">
        <v>496</v>
      </c>
      <c r="H10" s="62" t="s">
        <v>503</v>
      </c>
      <c r="I10" s="61" t="s">
        <v>498</v>
      </c>
      <c r="J10" s="61" t="s">
        <v>376</v>
      </c>
      <c r="K10" s="63" t="s">
        <v>499</v>
      </c>
      <c r="L10" s="63">
        <v>3426369</v>
      </c>
      <c r="M10" s="63" t="s">
        <v>513</v>
      </c>
      <c r="N10" s="63" t="s">
        <v>443</v>
      </c>
      <c r="O10" s="63">
        <v>4094908</v>
      </c>
      <c r="P10" s="63">
        <v>4094909</v>
      </c>
      <c r="Q10" s="63">
        <v>4094926</v>
      </c>
      <c r="R10" s="63">
        <v>4094931</v>
      </c>
      <c r="S10" s="63">
        <v>4094912</v>
      </c>
      <c r="T10" s="63">
        <v>4922314</v>
      </c>
      <c r="U10" s="63" t="s">
        <v>447</v>
      </c>
      <c r="V10" s="63">
        <v>4094914</v>
      </c>
      <c r="W10" s="63">
        <v>4922313</v>
      </c>
      <c r="X10" s="63" t="s">
        <v>512</v>
      </c>
      <c r="Y10" s="63" t="s">
        <v>453</v>
      </c>
      <c r="Z10" s="63" t="s">
        <v>501</v>
      </c>
      <c r="AA10" s="63" t="s">
        <v>502</v>
      </c>
      <c r="AB10" s="63">
        <v>4094901</v>
      </c>
      <c r="AC10" s="63">
        <v>4094925</v>
      </c>
      <c r="AD10" s="63">
        <v>4094943</v>
      </c>
      <c r="AE10" s="63">
        <v>4094944</v>
      </c>
      <c r="AF10" s="63">
        <v>4094941</v>
      </c>
      <c r="AG10" s="63" t="s">
        <v>454</v>
      </c>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row>
    <row r="11" spans="1:59">
      <c r="A11" s="60" t="s">
        <v>492</v>
      </c>
      <c r="B11" s="61" t="s">
        <v>509</v>
      </c>
      <c r="C11" s="61" t="s">
        <v>510</v>
      </c>
      <c r="D11" s="61" t="s">
        <v>493</v>
      </c>
      <c r="E11" s="61" t="s">
        <v>494</v>
      </c>
      <c r="F11" s="60" t="s">
        <v>504</v>
      </c>
      <c r="G11" s="60" t="s">
        <v>505</v>
      </c>
      <c r="H11" s="62" t="s">
        <v>506</v>
      </c>
      <c r="I11" s="61" t="s">
        <v>498</v>
      </c>
      <c r="J11" s="61" t="s">
        <v>376</v>
      </c>
      <c r="K11" s="63" t="s">
        <v>499</v>
      </c>
      <c r="L11" s="63">
        <v>3426369</v>
      </c>
      <c r="M11" s="63" t="s">
        <v>514</v>
      </c>
      <c r="N11" s="63" t="s">
        <v>444</v>
      </c>
      <c r="O11" s="63">
        <v>4094908</v>
      </c>
      <c r="P11" s="63">
        <v>4094909</v>
      </c>
      <c r="Q11" s="63">
        <v>4094926</v>
      </c>
      <c r="R11" s="63">
        <v>4094932</v>
      </c>
      <c r="S11" s="63">
        <v>4094912</v>
      </c>
      <c r="T11" s="63">
        <v>4922314</v>
      </c>
      <c r="U11" s="63" t="s">
        <v>448</v>
      </c>
      <c r="V11" s="63">
        <v>4094914</v>
      </c>
      <c r="W11" s="63">
        <v>4922313</v>
      </c>
      <c r="X11" s="63" t="s">
        <v>515</v>
      </c>
      <c r="Y11" s="63" t="s">
        <v>455</v>
      </c>
      <c r="Z11" s="63" t="s">
        <v>501</v>
      </c>
      <c r="AA11" s="63" t="s">
        <v>502</v>
      </c>
      <c r="AB11" s="63">
        <v>4094901</v>
      </c>
      <c r="AC11" s="63">
        <v>4094925</v>
      </c>
      <c r="AD11" s="63">
        <v>4094943</v>
      </c>
      <c r="AE11" s="63">
        <v>4094944</v>
      </c>
      <c r="AF11" s="63">
        <v>4094941</v>
      </c>
      <c r="AG11" s="63" t="s">
        <v>456</v>
      </c>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row>
    <row r="12" spans="1:59">
      <c r="A12" s="60" t="s">
        <v>492</v>
      </c>
      <c r="B12" s="61" t="s">
        <v>509</v>
      </c>
      <c r="C12" s="61" t="s">
        <v>510</v>
      </c>
      <c r="D12" s="61" t="s">
        <v>493</v>
      </c>
      <c r="E12" s="61" t="s">
        <v>494</v>
      </c>
      <c r="F12" s="60" t="s">
        <v>504</v>
      </c>
      <c r="G12" s="60" t="s">
        <v>505</v>
      </c>
      <c r="H12" s="62" t="s">
        <v>508</v>
      </c>
      <c r="I12" s="61" t="s">
        <v>498</v>
      </c>
      <c r="J12" s="61" t="s">
        <v>376</v>
      </c>
      <c r="K12" s="63" t="s">
        <v>499</v>
      </c>
      <c r="L12" s="63">
        <v>3426369</v>
      </c>
      <c r="M12" s="63" t="s">
        <v>516</v>
      </c>
      <c r="N12" s="63" t="s">
        <v>445</v>
      </c>
      <c r="O12" s="63">
        <v>4094908</v>
      </c>
      <c r="P12" s="63">
        <v>4094909</v>
      </c>
      <c r="Q12" s="63">
        <v>4094926</v>
      </c>
      <c r="R12" s="63">
        <v>4094933</v>
      </c>
      <c r="S12" s="63">
        <v>4094912</v>
      </c>
      <c r="T12" s="63">
        <v>4922314</v>
      </c>
      <c r="U12" s="63" t="s">
        <v>449</v>
      </c>
      <c r="V12" s="63">
        <v>4094914</v>
      </c>
      <c r="W12" s="63">
        <v>4922313</v>
      </c>
      <c r="X12" s="63" t="s">
        <v>515</v>
      </c>
      <c r="Y12" s="63" t="s">
        <v>457</v>
      </c>
      <c r="Z12" s="63" t="s">
        <v>501</v>
      </c>
      <c r="AA12" s="63" t="s">
        <v>502</v>
      </c>
      <c r="AB12" s="63">
        <v>4094901</v>
      </c>
      <c r="AC12" s="63">
        <v>4094925</v>
      </c>
      <c r="AD12" s="63">
        <v>4094943</v>
      </c>
      <c r="AE12" s="63">
        <v>4094944</v>
      </c>
      <c r="AF12" s="63">
        <v>4094941</v>
      </c>
      <c r="AG12" s="63" t="s">
        <v>458</v>
      </c>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row>
    <row r="13" spans="1:59">
      <c r="A13" s="60" t="s">
        <v>517</v>
      </c>
      <c r="B13" s="61" t="s">
        <v>509</v>
      </c>
      <c r="C13" s="61" t="s">
        <v>350</v>
      </c>
      <c r="D13" s="61" t="s">
        <v>493</v>
      </c>
      <c r="E13" s="61" t="s">
        <v>494</v>
      </c>
      <c r="F13" s="60" t="s">
        <v>495</v>
      </c>
      <c r="G13" s="60" t="s">
        <v>496</v>
      </c>
      <c r="H13" s="62" t="s">
        <v>497</v>
      </c>
      <c r="I13" s="61" t="s">
        <v>498</v>
      </c>
      <c r="J13" s="61">
        <v>4970659</v>
      </c>
      <c r="K13" s="63" t="s">
        <v>499</v>
      </c>
      <c r="L13" s="63">
        <v>4954429</v>
      </c>
      <c r="M13" s="63" t="s">
        <v>388</v>
      </c>
      <c r="N13" s="63" t="s">
        <v>389</v>
      </c>
      <c r="O13" s="63">
        <v>4094908</v>
      </c>
      <c r="P13" s="63">
        <v>4094909</v>
      </c>
      <c r="Q13" s="63">
        <v>4094926</v>
      </c>
      <c r="R13" s="63">
        <v>4094911</v>
      </c>
      <c r="S13" s="63">
        <v>4094912</v>
      </c>
      <c r="T13" s="63">
        <v>4922314</v>
      </c>
      <c r="U13" s="63" t="s">
        <v>390</v>
      </c>
      <c r="V13" s="63">
        <v>4094914</v>
      </c>
      <c r="W13" s="63">
        <v>4922313</v>
      </c>
      <c r="X13" s="63" t="s">
        <v>500</v>
      </c>
      <c r="Y13" s="63" t="s">
        <v>391</v>
      </c>
      <c r="Z13" s="63" t="s">
        <v>501</v>
      </c>
      <c r="AA13" s="63" t="s">
        <v>502</v>
      </c>
      <c r="AB13" s="63">
        <v>4094901</v>
      </c>
      <c r="AC13" s="63">
        <v>4094925</v>
      </c>
      <c r="AD13" s="63">
        <v>4094943</v>
      </c>
      <c r="AE13" s="63">
        <v>4094944</v>
      </c>
      <c r="AF13" s="63">
        <v>4094941</v>
      </c>
      <c r="AG13" s="63" t="s">
        <v>357</v>
      </c>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row>
    <row r="14" spans="1:59">
      <c r="A14" s="60" t="s">
        <v>517</v>
      </c>
      <c r="B14" s="61" t="s">
        <v>509</v>
      </c>
      <c r="C14" s="61" t="s">
        <v>350</v>
      </c>
      <c r="D14" s="61" t="s">
        <v>493</v>
      </c>
      <c r="E14" s="61" t="s">
        <v>494</v>
      </c>
      <c r="F14" s="60" t="s">
        <v>495</v>
      </c>
      <c r="G14" s="60" t="s">
        <v>496</v>
      </c>
      <c r="H14" s="62" t="s">
        <v>503</v>
      </c>
      <c r="I14" s="61" t="s">
        <v>498</v>
      </c>
      <c r="J14" s="61">
        <v>4970660</v>
      </c>
      <c r="K14" s="63" t="s">
        <v>499</v>
      </c>
      <c r="L14" s="63">
        <v>4954429</v>
      </c>
      <c r="M14" s="63" t="s">
        <v>518</v>
      </c>
      <c r="N14" s="63" t="s">
        <v>392</v>
      </c>
      <c r="O14" s="63">
        <v>4094908</v>
      </c>
      <c r="P14" s="63">
        <v>4094909</v>
      </c>
      <c r="Q14" s="63">
        <v>4094926</v>
      </c>
      <c r="R14" s="63">
        <v>4094931</v>
      </c>
      <c r="S14" s="63">
        <v>4094912</v>
      </c>
      <c r="T14" s="63">
        <v>4922314</v>
      </c>
      <c r="U14" s="63" t="s">
        <v>393</v>
      </c>
      <c r="V14" s="63">
        <v>4094914</v>
      </c>
      <c r="W14" s="63">
        <v>4922313</v>
      </c>
      <c r="X14" s="63" t="s">
        <v>500</v>
      </c>
      <c r="Y14" s="63" t="s">
        <v>394</v>
      </c>
      <c r="Z14" s="63" t="s">
        <v>501</v>
      </c>
      <c r="AA14" s="63" t="s">
        <v>502</v>
      </c>
      <c r="AB14" s="63">
        <v>4094901</v>
      </c>
      <c r="AC14" s="63">
        <v>4094925</v>
      </c>
      <c r="AD14" s="63">
        <v>4094943</v>
      </c>
      <c r="AE14" s="63">
        <v>4094944</v>
      </c>
      <c r="AF14" s="63">
        <v>4094941</v>
      </c>
      <c r="AG14" s="63" t="s">
        <v>364</v>
      </c>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row>
    <row r="15" spans="1:59">
      <c r="A15" s="60" t="s">
        <v>517</v>
      </c>
      <c r="B15" s="61" t="s">
        <v>509</v>
      </c>
      <c r="C15" s="61" t="s">
        <v>350</v>
      </c>
      <c r="D15" s="61" t="s">
        <v>493</v>
      </c>
      <c r="E15" s="61" t="s">
        <v>494</v>
      </c>
      <c r="F15" s="60" t="s">
        <v>504</v>
      </c>
      <c r="G15" s="60" t="s">
        <v>505</v>
      </c>
      <c r="H15" s="62" t="s">
        <v>506</v>
      </c>
      <c r="I15" s="61" t="s">
        <v>498</v>
      </c>
      <c r="J15" s="61">
        <v>4970661</v>
      </c>
      <c r="K15" s="63" t="s">
        <v>499</v>
      </c>
      <c r="L15" s="63">
        <v>4954429</v>
      </c>
      <c r="M15" s="63" t="s">
        <v>519</v>
      </c>
      <c r="N15" s="63" t="s">
        <v>395</v>
      </c>
      <c r="O15" s="63">
        <v>4094908</v>
      </c>
      <c r="P15" s="63">
        <v>4094909</v>
      </c>
      <c r="Q15" s="63">
        <v>4094926</v>
      </c>
      <c r="R15" s="63">
        <v>4094932</v>
      </c>
      <c r="S15" s="63">
        <v>4094912</v>
      </c>
      <c r="T15" s="63">
        <v>4922314</v>
      </c>
      <c r="U15" s="63" t="s">
        <v>396</v>
      </c>
      <c r="V15" s="63">
        <v>4094914</v>
      </c>
      <c r="W15" s="63">
        <v>4922313</v>
      </c>
      <c r="X15" s="63" t="s">
        <v>500</v>
      </c>
      <c r="Y15" s="63" t="s">
        <v>397</v>
      </c>
      <c r="Z15" s="63" t="s">
        <v>501</v>
      </c>
      <c r="AA15" s="63" t="s">
        <v>502</v>
      </c>
      <c r="AB15" s="63">
        <v>4094901</v>
      </c>
      <c r="AC15" s="63">
        <v>4094925</v>
      </c>
      <c r="AD15" s="63">
        <v>4094943</v>
      </c>
      <c r="AE15" s="63">
        <v>4094944</v>
      </c>
      <c r="AF15" s="63">
        <v>4094941</v>
      </c>
      <c r="AG15" s="63" t="s">
        <v>369</v>
      </c>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row>
    <row r="16" spans="1:59">
      <c r="A16" s="60" t="s">
        <v>517</v>
      </c>
      <c r="B16" s="61" t="s">
        <v>509</v>
      </c>
      <c r="C16" s="61" t="s">
        <v>350</v>
      </c>
      <c r="D16" s="61" t="s">
        <v>493</v>
      </c>
      <c r="E16" s="61" t="s">
        <v>494</v>
      </c>
      <c r="F16" s="60" t="s">
        <v>504</v>
      </c>
      <c r="G16" s="60" t="s">
        <v>505</v>
      </c>
      <c r="H16" s="62" t="s">
        <v>508</v>
      </c>
      <c r="I16" s="61" t="s">
        <v>498</v>
      </c>
      <c r="J16" s="61">
        <v>4970662</v>
      </c>
      <c r="K16" s="63" t="s">
        <v>499</v>
      </c>
      <c r="L16" s="63">
        <v>4954429</v>
      </c>
      <c r="M16" s="63" t="s">
        <v>398</v>
      </c>
      <c r="N16" s="63" t="s">
        <v>399</v>
      </c>
      <c r="O16" s="63">
        <v>4094908</v>
      </c>
      <c r="P16" s="63">
        <v>4094909</v>
      </c>
      <c r="Q16" s="63">
        <v>4094926</v>
      </c>
      <c r="R16" s="63">
        <v>4094933</v>
      </c>
      <c r="S16" s="63">
        <v>4094912</v>
      </c>
      <c r="T16" s="63">
        <v>4922314</v>
      </c>
      <c r="U16" s="63" t="s">
        <v>400</v>
      </c>
      <c r="V16" s="63">
        <v>4094914</v>
      </c>
      <c r="W16" s="63">
        <v>4922313</v>
      </c>
      <c r="X16" s="63" t="s">
        <v>500</v>
      </c>
      <c r="Y16" s="63" t="s">
        <v>401</v>
      </c>
      <c r="Z16" s="63" t="s">
        <v>501</v>
      </c>
      <c r="AA16" s="63" t="s">
        <v>502</v>
      </c>
      <c r="AB16" s="63">
        <v>4094901</v>
      </c>
      <c r="AC16" s="63">
        <v>4094925</v>
      </c>
      <c r="AD16" s="63">
        <v>4094943</v>
      </c>
      <c r="AE16" s="63">
        <v>4094944</v>
      </c>
      <c r="AF16" s="63">
        <v>4094941</v>
      </c>
      <c r="AG16" s="63" t="s">
        <v>375</v>
      </c>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row>
    <row r="17" spans="1:59">
      <c r="A17" s="60" t="s">
        <v>517</v>
      </c>
      <c r="B17" s="61" t="s">
        <v>349</v>
      </c>
      <c r="C17" s="61" t="s">
        <v>510</v>
      </c>
      <c r="D17" s="61" t="s">
        <v>493</v>
      </c>
      <c r="E17" s="61" t="s">
        <v>494</v>
      </c>
      <c r="F17" s="60" t="s">
        <v>495</v>
      </c>
      <c r="G17" s="60" t="s">
        <v>496</v>
      </c>
      <c r="H17" s="62" t="s">
        <v>497</v>
      </c>
      <c r="I17" s="61" t="s">
        <v>498</v>
      </c>
      <c r="J17" s="61">
        <v>4970667</v>
      </c>
      <c r="K17" s="63" t="s">
        <v>499</v>
      </c>
      <c r="L17" s="63">
        <v>4954429</v>
      </c>
      <c r="M17" s="63" t="s">
        <v>520</v>
      </c>
      <c r="N17" s="63" t="s">
        <v>416</v>
      </c>
      <c r="O17" s="63">
        <v>4094908</v>
      </c>
      <c r="P17" s="63">
        <v>4094909</v>
      </c>
      <c r="Q17" s="63">
        <v>4094926</v>
      </c>
      <c r="R17" s="63">
        <v>4094911</v>
      </c>
      <c r="S17" s="63">
        <v>4094912</v>
      </c>
      <c r="T17" s="63">
        <v>4094913</v>
      </c>
      <c r="U17" s="63" t="s">
        <v>417</v>
      </c>
      <c r="V17" s="63">
        <v>4094914</v>
      </c>
      <c r="W17" s="63">
        <v>4094915</v>
      </c>
      <c r="X17" s="63" t="s">
        <v>500</v>
      </c>
      <c r="Y17" s="63" t="s">
        <v>418</v>
      </c>
      <c r="Z17" s="63" t="s">
        <v>501</v>
      </c>
      <c r="AA17" s="63" t="s">
        <v>502</v>
      </c>
      <c r="AB17" s="63">
        <v>4094901</v>
      </c>
      <c r="AC17" s="63">
        <v>4094925</v>
      </c>
      <c r="AD17" s="63">
        <v>4094943</v>
      </c>
      <c r="AE17" s="63">
        <v>4094944</v>
      </c>
      <c r="AF17" s="63">
        <v>4094941</v>
      </c>
      <c r="AG17" s="63" t="s">
        <v>419</v>
      </c>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row>
    <row r="18" spans="1:59">
      <c r="A18" s="60" t="s">
        <v>517</v>
      </c>
      <c r="B18" s="61" t="s">
        <v>349</v>
      </c>
      <c r="C18" s="61" t="s">
        <v>510</v>
      </c>
      <c r="D18" s="61" t="s">
        <v>493</v>
      </c>
      <c r="E18" s="61" t="s">
        <v>494</v>
      </c>
      <c r="F18" s="60" t="s">
        <v>495</v>
      </c>
      <c r="G18" s="60" t="s">
        <v>496</v>
      </c>
      <c r="H18" s="62" t="s">
        <v>503</v>
      </c>
      <c r="I18" s="61" t="s">
        <v>498</v>
      </c>
      <c r="J18" s="61">
        <v>4970668</v>
      </c>
      <c r="K18" s="63" t="s">
        <v>499</v>
      </c>
      <c r="L18" s="63">
        <v>4954429</v>
      </c>
      <c r="M18" s="63" t="s">
        <v>521</v>
      </c>
      <c r="N18" s="63" t="s">
        <v>420</v>
      </c>
      <c r="O18" s="63">
        <v>4094908</v>
      </c>
      <c r="P18" s="63">
        <v>4094909</v>
      </c>
      <c r="Q18" s="63">
        <v>4094926</v>
      </c>
      <c r="R18" s="63">
        <v>4094931</v>
      </c>
      <c r="S18" s="63">
        <v>4094912</v>
      </c>
      <c r="T18" s="63">
        <v>4094913</v>
      </c>
      <c r="U18" s="63" t="s">
        <v>421</v>
      </c>
      <c r="V18" s="63">
        <v>4094914</v>
      </c>
      <c r="W18" s="63">
        <v>4094915</v>
      </c>
      <c r="X18" s="63" t="s">
        <v>500</v>
      </c>
      <c r="Y18" s="63" t="s">
        <v>422</v>
      </c>
      <c r="Z18" s="63" t="s">
        <v>501</v>
      </c>
      <c r="AA18" s="63" t="s">
        <v>502</v>
      </c>
      <c r="AB18" s="63">
        <v>4094901</v>
      </c>
      <c r="AC18" s="63">
        <v>4094925</v>
      </c>
      <c r="AD18" s="63">
        <v>4094943</v>
      </c>
      <c r="AE18" s="63">
        <v>4094944</v>
      </c>
      <c r="AF18" s="63">
        <v>4094941</v>
      </c>
      <c r="AG18" s="63" t="s">
        <v>423</v>
      </c>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row>
    <row r="19" spans="1:59">
      <c r="A19" s="60" t="s">
        <v>517</v>
      </c>
      <c r="B19" s="61" t="s">
        <v>349</v>
      </c>
      <c r="C19" s="61" t="s">
        <v>510</v>
      </c>
      <c r="D19" s="61" t="s">
        <v>493</v>
      </c>
      <c r="E19" s="61" t="s">
        <v>494</v>
      </c>
      <c r="F19" s="60" t="s">
        <v>504</v>
      </c>
      <c r="G19" s="60" t="s">
        <v>505</v>
      </c>
      <c r="H19" s="62" t="s">
        <v>506</v>
      </c>
      <c r="I19" s="61" t="s">
        <v>498</v>
      </c>
      <c r="J19" s="61">
        <v>4970669</v>
      </c>
      <c r="K19" s="63" t="s">
        <v>499</v>
      </c>
      <c r="L19" s="63">
        <v>4954429</v>
      </c>
      <c r="M19" s="63" t="s">
        <v>424</v>
      </c>
      <c r="N19" s="63" t="s">
        <v>425</v>
      </c>
      <c r="O19" s="63">
        <v>4094908</v>
      </c>
      <c r="P19" s="63">
        <v>4094909</v>
      </c>
      <c r="Q19" s="63">
        <v>4094926</v>
      </c>
      <c r="R19" s="63">
        <v>4094932</v>
      </c>
      <c r="S19" s="63">
        <v>4094912</v>
      </c>
      <c r="T19" s="63">
        <v>4094913</v>
      </c>
      <c r="U19" s="63" t="s">
        <v>426</v>
      </c>
      <c r="V19" s="63">
        <v>4094914</v>
      </c>
      <c r="W19" s="63">
        <v>4094915</v>
      </c>
      <c r="X19" s="63" t="s">
        <v>500</v>
      </c>
      <c r="Y19" s="63" t="s">
        <v>427</v>
      </c>
      <c r="Z19" s="63" t="s">
        <v>501</v>
      </c>
      <c r="AA19" s="63" t="s">
        <v>502</v>
      </c>
      <c r="AB19" s="63">
        <v>4094901</v>
      </c>
      <c r="AC19" s="63">
        <v>4094925</v>
      </c>
      <c r="AD19" s="63">
        <v>4094943</v>
      </c>
      <c r="AE19" s="63">
        <v>4094944</v>
      </c>
      <c r="AF19" s="63">
        <v>4094941</v>
      </c>
      <c r="AG19" s="63" t="s">
        <v>428</v>
      </c>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row>
    <row r="20" spans="1:59">
      <c r="A20" s="60" t="s">
        <v>517</v>
      </c>
      <c r="B20" s="61" t="s">
        <v>349</v>
      </c>
      <c r="C20" s="61" t="s">
        <v>510</v>
      </c>
      <c r="D20" s="61" t="s">
        <v>493</v>
      </c>
      <c r="E20" s="61" t="s">
        <v>494</v>
      </c>
      <c r="F20" s="60" t="s">
        <v>504</v>
      </c>
      <c r="G20" s="60" t="s">
        <v>505</v>
      </c>
      <c r="H20" s="62" t="s">
        <v>508</v>
      </c>
      <c r="I20" s="61" t="s">
        <v>498</v>
      </c>
      <c r="J20" s="61">
        <v>4970670</v>
      </c>
      <c r="K20" s="63" t="s">
        <v>499</v>
      </c>
      <c r="L20" s="63">
        <v>4954429</v>
      </c>
      <c r="M20" s="63" t="s">
        <v>429</v>
      </c>
      <c r="N20" s="63" t="s">
        <v>430</v>
      </c>
      <c r="O20" s="63">
        <v>4094908</v>
      </c>
      <c r="P20" s="63">
        <v>4094909</v>
      </c>
      <c r="Q20" s="63">
        <v>4094926</v>
      </c>
      <c r="R20" s="63">
        <v>4094933</v>
      </c>
      <c r="S20" s="63">
        <v>4094912</v>
      </c>
      <c r="T20" s="63">
        <v>4094913</v>
      </c>
      <c r="U20" s="63" t="s">
        <v>431</v>
      </c>
      <c r="V20" s="63">
        <v>4094914</v>
      </c>
      <c r="W20" s="63">
        <v>4094915</v>
      </c>
      <c r="X20" s="63" t="s">
        <v>500</v>
      </c>
      <c r="Y20" s="63" t="s">
        <v>432</v>
      </c>
      <c r="Z20" s="63" t="s">
        <v>501</v>
      </c>
      <c r="AA20" s="63" t="s">
        <v>502</v>
      </c>
      <c r="AB20" s="63">
        <v>4094901</v>
      </c>
      <c r="AC20" s="63">
        <v>4094925</v>
      </c>
      <c r="AD20" s="63">
        <v>4094943</v>
      </c>
      <c r="AE20" s="63">
        <v>4094944</v>
      </c>
      <c r="AF20" s="63">
        <v>4094941</v>
      </c>
      <c r="AG20" s="63" t="s">
        <v>433</v>
      </c>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row>
    <row r="21" spans="1:59">
      <c r="A21" s="60" t="s">
        <v>517</v>
      </c>
      <c r="B21" s="61" t="s">
        <v>509</v>
      </c>
      <c r="C21" s="61" t="s">
        <v>510</v>
      </c>
      <c r="D21" s="61" t="s">
        <v>493</v>
      </c>
      <c r="E21" s="61" t="s">
        <v>494</v>
      </c>
      <c r="F21" s="60" t="s">
        <v>495</v>
      </c>
      <c r="G21" s="60" t="s">
        <v>496</v>
      </c>
      <c r="H21" s="62" t="s">
        <v>497</v>
      </c>
      <c r="I21" s="61" t="s">
        <v>275</v>
      </c>
      <c r="J21" s="61" t="s">
        <v>376</v>
      </c>
      <c r="K21" s="63" t="s">
        <v>499</v>
      </c>
      <c r="L21" s="63">
        <v>4954429</v>
      </c>
      <c r="M21" s="63" t="s">
        <v>511</v>
      </c>
      <c r="N21" s="63" t="s">
        <v>442</v>
      </c>
      <c r="O21" s="63">
        <v>4094908</v>
      </c>
      <c r="P21" s="63">
        <v>4094909</v>
      </c>
      <c r="Q21" s="63">
        <v>4094926</v>
      </c>
      <c r="R21" s="63">
        <v>4094911</v>
      </c>
      <c r="S21" s="63">
        <v>4094912</v>
      </c>
      <c r="T21" s="63">
        <v>4922314</v>
      </c>
      <c r="U21" s="63" t="s">
        <v>446</v>
      </c>
      <c r="V21" s="63">
        <v>4094914</v>
      </c>
      <c r="W21" s="63">
        <v>4922313</v>
      </c>
      <c r="X21" s="63" t="s">
        <v>512</v>
      </c>
      <c r="Y21" s="63" t="s">
        <v>451</v>
      </c>
      <c r="Z21" s="63" t="s">
        <v>501</v>
      </c>
      <c r="AA21" s="63" t="s">
        <v>502</v>
      </c>
      <c r="AB21" s="63">
        <v>4094901</v>
      </c>
      <c r="AC21" s="63">
        <v>4094925</v>
      </c>
      <c r="AD21" s="63">
        <v>4094943</v>
      </c>
      <c r="AE21" s="63">
        <v>4094944</v>
      </c>
      <c r="AF21" s="63">
        <v>4094941</v>
      </c>
      <c r="AG21" s="63" t="s">
        <v>452</v>
      </c>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row>
    <row r="22" spans="1:59">
      <c r="A22" s="60" t="s">
        <v>517</v>
      </c>
      <c r="B22" s="61" t="s">
        <v>509</v>
      </c>
      <c r="C22" s="61" t="s">
        <v>510</v>
      </c>
      <c r="D22" s="61" t="s">
        <v>493</v>
      </c>
      <c r="E22" s="61" t="s">
        <v>494</v>
      </c>
      <c r="F22" s="60" t="s">
        <v>495</v>
      </c>
      <c r="G22" s="60" t="s">
        <v>496</v>
      </c>
      <c r="H22" s="62" t="s">
        <v>503</v>
      </c>
      <c r="I22" s="61" t="s">
        <v>275</v>
      </c>
      <c r="J22" s="61" t="s">
        <v>376</v>
      </c>
      <c r="K22" s="63" t="s">
        <v>499</v>
      </c>
      <c r="L22" s="63">
        <v>4954429</v>
      </c>
      <c r="M22" s="63" t="s">
        <v>513</v>
      </c>
      <c r="N22" s="63" t="s">
        <v>443</v>
      </c>
      <c r="O22" s="63">
        <v>4094908</v>
      </c>
      <c r="P22" s="63">
        <v>4094909</v>
      </c>
      <c r="Q22" s="63">
        <v>4094926</v>
      </c>
      <c r="R22" s="63">
        <v>4094931</v>
      </c>
      <c r="S22" s="63">
        <v>4094912</v>
      </c>
      <c r="T22" s="63">
        <v>4922314</v>
      </c>
      <c r="U22" s="63" t="s">
        <v>447</v>
      </c>
      <c r="V22" s="63">
        <v>4094914</v>
      </c>
      <c r="W22" s="63">
        <v>4922313</v>
      </c>
      <c r="X22" s="63" t="s">
        <v>512</v>
      </c>
      <c r="Y22" s="63" t="s">
        <v>453</v>
      </c>
      <c r="Z22" s="63" t="s">
        <v>501</v>
      </c>
      <c r="AA22" s="63" t="s">
        <v>502</v>
      </c>
      <c r="AB22" s="63">
        <v>4094901</v>
      </c>
      <c r="AC22" s="63">
        <v>4094925</v>
      </c>
      <c r="AD22" s="63">
        <v>4094943</v>
      </c>
      <c r="AE22" s="63">
        <v>4094944</v>
      </c>
      <c r="AF22" s="63">
        <v>4094941</v>
      </c>
      <c r="AG22" s="63" t="s">
        <v>454</v>
      </c>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row>
    <row r="23" spans="1:59">
      <c r="A23" s="60" t="s">
        <v>517</v>
      </c>
      <c r="B23" s="61" t="s">
        <v>509</v>
      </c>
      <c r="C23" s="61" t="s">
        <v>510</v>
      </c>
      <c r="D23" s="61" t="s">
        <v>493</v>
      </c>
      <c r="E23" s="61" t="s">
        <v>494</v>
      </c>
      <c r="F23" s="60" t="s">
        <v>504</v>
      </c>
      <c r="G23" s="60" t="s">
        <v>505</v>
      </c>
      <c r="H23" s="62" t="s">
        <v>506</v>
      </c>
      <c r="I23" s="61" t="s">
        <v>275</v>
      </c>
      <c r="J23" s="61" t="s">
        <v>376</v>
      </c>
      <c r="K23" s="63" t="s">
        <v>499</v>
      </c>
      <c r="L23" s="63">
        <v>4954429</v>
      </c>
      <c r="M23" s="63" t="s">
        <v>514</v>
      </c>
      <c r="N23" s="63" t="s">
        <v>444</v>
      </c>
      <c r="O23" s="63">
        <v>4094908</v>
      </c>
      <c r="P23" s="63">
        <v>4094909</v>
      </c>
      <c r="Q23" s="63">
        <v>4094926</v>
      </c>
      <c r="R23" s="63">
        <v>4094932</v>
      </c>
      <c r="S23" s="63">
        <v>4094912</v>
      </c>
      <c r="T23" s="63">
        <v>4922314</v>
      </c>
      <c r="U23" s="63" t="s">
        <v>448</v>
      </c>
      <c r="V23" s="63">
        <v>4094914</v>
      </c>
      <c r="W23" s="63">
        <v>4922313</v>
      </c>
      <c r="X23" s="63" t="s">
        <v>515</v>
      </c>
      <c r="Y23" s="63" t="s">
        <v>455</v>
      </c>
      <c r="Z23" s="63" t="s">
        <v>501</v>
      </c>
      <c r="AA23" s="63" t="s">
        <v>502</v>
      </c>
      <c r="AB23" s="63">
        <v>4094901</v>
      </c>
      <c r="AC23" s="63">
        <v>4094925</v>
      </c>
      <c r="AD23" s="63">
        <v>4094943</v>
      </c>
      <c r="AE23" s="63">
        <v>4094944</v>
      </c>
      <c r="AF23" s="63">
        <v>4094941</v>
      </c>
      <c r="AG23" s="63" t="s">
        <v>456</v>
      </c>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row>
    <row r="24" spans="1:59">
      <c r="A24" s="60" t="s">
        <v>517</v>
      </c>
      <c r="B24" s="61" t="s">
        <v>509</v>
      </c>
      <c r="C24" s="61" t="s">
        <v>510</v>
      </c>
      <c r="D24" s="61" t="s">
        <v>493</v>
      </c>
      <c r="E24" s="61" t="s">
        <v>494</v>
      </c>
      <c r="F24" s="60" t="s">
        <v>504</v>
      </c>
      <c r="G24" s="60" t="s">
        <v>505</v>
      </c>
      <c r="H24" s="62" t="s">
        <v>508</v>
      </c>
      <c r="I24" s="61" t="s">
        <v>275</v>
      </c>
      <c r="J24" s="61" t="s">
        <v>376</v>
      </c>
      <c r="K24" s="63" t="s">
        <v>499</v>
      </c>
      <c r="L24" s="63">
        <v>4954429</v>
      </c>
      <c r="M24" s="63" t="s">
        <v>516</v>
      </c>
      <c r="N24" s="63" t="s">
        <v>445</v>
      </c>
      <c r="O24" s="63">
        <v>4094908</v>
      </c>
      <c r="P24" s="63">
        <v>4094909</v>
      </c>
      <c r="Q24" s="63">
        <v>4094926</v>
      </c>
      <c r="R24" s="63">
        <v>4094933</v>
      </c>
      <c r="S24" s="63">
        <v>4094912</v>
      </c>
      <c r="T24" s="63">
        <v>4922314</v>
      </c>
      <c r="U24" s="63" t="s">
        <v>449</v>
      </c>
      <c r="V24" s="63">
        <v>4094914</v>
      </c>
      <c r="W24" s="63">
        <v>4922313</v>
      </c>
      <c r="X24" s="63" t="s">
        <v>515</v>
      </c>
      <c r="Y24" s="63" t="s">
        <v>457</v>
      </c>
      <c r="Z24" s="63" t="s">
        <v>501</v>
      </c>
      <c r="AA24" s="63" t="s">
        <v>502</v>
      </c>
      <c r="AB24" s="63">
        <v>4094901</v>
      </c>
      <c r="AC24" s="63">
        <v>4094925</v>
      </c>
      <c r="AD24" s="63">
        <v>4094943</v>
      </c>
      <c r="AE24" s="63">
        <v>4094944</v>
      </c>
      <c r="AF24" s="63">
        <v>4094941</v>
      </c>
      <c r="AG24" s="63" t="s">
        <v>458</v>
      </c>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row>
    <row r="25" spans="1:59">
      <c r="K25" s="52"/>
      <c r="L25" s="52"/>
      <c r="M25" s="52"/>
      <c r="N25" s="52"/>
      <c r="O25" s="52"/>
      <c r="P25" s="52"/>
      <c r="Q25" s="52"/>
      <c r="R25" s="52"/>
      <c r="S25" s="52"/>
      <c r="T25" s="52"/>
      <c r="U25" s="52"/>
      <c r="V25" s="52"/>
      <c r="W25" s="52"/>
      <c r="X25" s="52"/>
      <c r="Y25" s="52"/>
      <c r="Z25" s="52"/>
      <c r="AA25" s="52"/>
      <c r="AB25" s="52"/>
      <c r="AC25" s="52"/>
      <c r="AD25" s="52"/>
      <c r="AE25" s="52"/>
      <c r="AF25" s="52"/>
      <c r="AG25" s="52"/>
    </row>
    <row r="26" spans="1:59">
      <c r="A26" s="57" t="s">
        <v>333</v>
      </c>
      <c r="K26" s="52"/>
      <c r="L26" s="52"/>
      <c r="M26" s="52"/>
      <c r="N26" s="58"/>
      <c r="O26" s="58"/>
      <c r="P26" s="58"/>
      <c r="Q26" s="58"/>
      <c r="R26" s="58"/>
      <c r="S26" s="58"/>
      <c r="T26" s="58"/>
      <c r="U26" s="58"/>
      <c r="V26" s="58"/>
      <c r="W26" s="58"/>
      <c r="X26" s="58"/>
      <c r="Y26" s="58"/>
      <c r="Z26" s="58"/>
      <c r="AA26" s="58"/>
      <c r="AB26" s="58"/>
      <c r="AC26" s="58"/>
      <c r="AD26" s="52"/>
      <c r="AE26" s="52"/>
      <c r="AF26" s="52"/>
      <c r="AG26" s="52"/>
    </row>
    <row r="27" spans="1:59" ht="45">
      <c r="A27" t="s">
        <v>522</v>
      </c>
      <c r="K27" s="52"/>
      <c r="L27" s="58" t="s">
        <v>476</v>
      </c>
      <c r="M27" s="58" t="s">
        <v>331</v>
      </c>
      <c r="N27" s="58" t="s">
        <v>40</v>
      </c>
      <c r="O27" s="59" t="s">
        <v>477</v>
      </c>
      <c r="P27" s="59" t="s">
        <v>478</v>
      </c>
      <c r="Q27" s="59" t="s">
        <v>479</v>
      </c>
      <c r="R27" s="59" t="s">
        <v>480</v>
      </c>
      <c r="S27" s="59" t="s">
        <v>481</v>
      </c>
      <c r="T27" s="59" t="s">
        <v>482</v>
      </c>
      <c r="U27" s="59" t="s">
        <v>523</v>
      </c>
      <c r="V27" s="59" t="s">
        <v>483</v>
      </c>
      <c r="W27" s="59" t="s">
        <v>487</v>
      </c>
      <c r="X27" s="59" t="s">
        <v>488</v>
      </c>
      <c r="Y27" s="59" t="s">
        <v>489</v>
      </c>
      <c r="Z27" s="59" t="s">
        <v>490</v>
      </c>
      <c r="AA27" s="59" t="s">
        <v>524</v>
      </c>
      <c r="AB27" s="58"/>
      <c r="AC27" s="58" t="s">
        <v>38</v>
      </c>
      <c r="AD27" s="52"/>
      <c r="AE27" s="52"/>
      <c r="AF27" s="52"/>
      <c r="AG27" s="52"/>
      <c r="AI27" t="s">
        <v>525</v>
      </c>
    </row>
    <row r="28" spans="1:59">
      <c r="A28" s="60" t="s">
        <v>526</v>
      </c>
      <c r="B28" s="61" t="s">
        <v>349</v>
      </c>
      <c r="C28" s="61" t="s">
        <v>350</v>
      </c>
      <c r="D28" s="61" t="s">
        <v>493</v>
      </c>
      <c r="E28" s="61" t="s">
        <v>494</v>
      </c>
      <c r="F28" s="60" t="s">
        <v>504</v>
      </c>
      <c r="G28" s="60" t="s">
        <v>505</v>
      </c>
      <c r="H28" s="62" t="s">
        <v>506</v>
      </c>
      <c r="I28" s="61" t="s">
        <v>498</v>
      </c>
      <c r="J28" s="61">
        <v>4922574</v>
      </c>
      <c r="K28" s="65" t="s">
        <v>499</v>
      </c>
      <c r="L28" s="65">
        <v>3607754</v>
      </c>
      <c r="M28" s="63" t="s">
        <v>377</v>
      </c>
      <c r="N28" s="63" t="s">
        <v>378</v>
      </c>
      <c r="O28" s="65">
        <v>4094917</v>
      </c>
      <c r="P28" s="65">
        <v>4094918</v>
      </c>
      <c r="Q28" s="65">
        <v>4094919</v>
      </c>
      <c r="R28" s="65">
        <v>4094938</v>
      </c>
      <c r="S28" s="65">
        <v>4094921</v>
      </c>
      <c r="T28" s="65">
        <v>4094922</v>
      </c>
      <c r="U28" s="65">
        <v>4094923</v>
      </c>
      <c r="V28" s="65">
        <v>4094924</v>
      </c>
      <c r="W28" s="65">
        <v>4094900</v>
      </c>
      <c r="X28" s="65">
        <v>4094916</v>
      </c>
      <c r="Y28" s="65">
        <v>3607995</v>
      </c>
      <c r="Z28" s="65">
        <v>4009379</v>
      </c>
      <c r="AA28" s="65">
        <v>4094945</v>
      </c>
      <c r="AB28" s="65"/>
      <c r="AC28" s="65" t="s">
        <v>369</v>
      </c>
      <c r="AD28" s="63"/>
      <c r="AE28" s="63"/>
      <c r="AF28" s="63"/>
      <c r="AG28" s="63"/>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row>
    <row r="29" spans="1:59">
      <c r="A29" s="60" t="s">
        <v>526</v>
      </c>
      <c r="B29" s="61" t="s">
        <v>349</v>
      </c>
      <c r="C29" s="61" t="s">
        <v>350</v>
      </c>
      <c r="D29" s="61" t="s">
        <v>493</v>
      </c>
      <c r="E29" s="61" t="s">
        <v>494</v>
      </c>
      <c r="F29" s="60" t="s">
        <v>504</v>
      </c>
      <c r="G29" s="60" t="s">
        <v>505</v>
      </c>
      <c r="H29" s="62" t="s">
        <v>508</v>
      </c>
      <c r="I29" s="61" t="s">
        <v>498</v>
      </c>
      <c r="J29" s="61">
        <v>4922575</v>
      </c>
      <c r="K29" s="65" t="s">
        <v>499</v>
      </c>
      <c r="L29" s="65">
        <v>3607754</v>
      </c>
      <c r="M29" s="63" t="s">
        <v>379</v>
      </c>
      <c r="N29" s="63" t="s">
        <v>380</v>
      </c>
      <c r="O29" s="65">
        <v>4094917</v>
      </c>
      <c r="P29" s="65">
        <v>4094918</v>
      </c>
      <c r="Q29" s="65">
        <v>4094919</v>
      </c>
      <c r="R29" s="65">
        <v>4094939</v>
      </c>
      <c r="S29" s="65">
        <v>4094921</v>
      </c>
      <c r="T29" s="65">
        <v>4094922</v>
      </c>
      <c r="U29" s="65">
        <v>4094923</v>
      </c>
      <c r="V29" s="65">
        <v>4094924</v>
      </c>
      <c r="W29" s="65">
        <v>4094900</v>
      </c>
      <c r="X29" s="65">
        <v>4094916</v>
      </c>
      <c r="Y29" s="65">
        <v>3607995</v>
      </c>
      <c r="Z29" s="65">
        <v>4009379</v>
      </c>
      <c r="AA29" s="65">
        <v>4094945</v>
      </c>
      <c r="AB29" s="65"/>
      <c r="AC29" s="65" t="s">
        <v>375</v>
      </c>
      <c r="AD29" s="63"/>
      <c r="AE29" s="63"/>
      <c r="AF29" s="63"/>
      <c r="AG29" s="63"/>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row>
    <row r="30" spans="1:59">
      <c r="A30" s="60" t="s">
        <v>526</v>
      </c>
      <c r="B30" s="61" t="s">
        <v>349</v>
      </c>
      <c r="C30" s="61" t="s">
        <v>350</v>
      </c>
      <c r="D30" s="61" t="s">
        <v>493</v>
      </c>
      <c r="E30" s="61" t="s">
        <v>494</v>
      </c>
      <c r="F30" s="60" t="s">
        <v>495</v>
      </c>
      <c r="G30" s="60" t="s">
        <v>496</v>
      </c>
      <c r="H30" s="62" t="s">
        <v>497</v>
      </c>
      <c r="I30" s="61" t="s">
        <v>498</v>
      </c>
      <c r="J30" s="61">
        <v>4922576</v>
      </c>
      <c r="K30" s="65" t="s">
        <v>499</v>
      </c>
      <c r="L30" s="65">
        <v>3607754</v>
      </c>
      <c r="M30" s="63" t="s">
        <v>381</v>
      </c>
      <c r="N30" s="63" t="s">
        <v>382</v>
      </c>
      <c r="O30" s="65">
        <v>4094917</v>
      </c>
      <c r="P30" s="65">
        <v>4094918</v>
      </c>
      <c r="Q30" s="65">
        <v>4094919</v>
      </c>
      <c r="R30" s="65">
        <v>4094920</v>
      </c>
      <c r="S30" s="65">
        <v>4094921</v>
      </c>
      <c r="T30" s="65">
        <v>4094922</v>
      </c>
      <c r="U30" s="65">
        <v>4094923</v>
      </c>
      <c r="V30" s="65">
        <v>4094924</v>
      </c>
      <c r="W30" s="65">
        <v>4094900</v>
      </c>
      <c r="X30" s="65">
        <v>4094916</v>
      </c>
      <c r="Y30" s="65">
        <v>3607995</v>
      </c>
      <c r="Z30" s="65">
        <v>4009379</v>
      </c>
      <c r="AA30" s="65">
        <v>4094945</v>
      </c>
      <c r="AB30" s="65"/>
      <c r="AC30" s="65" t="s">
        <v>357</v>
      </c>
      <c r="AD30" s="63"/>
      <c r="AE30" s="63"/>
      <c r="AF30" s="63"/>
      <c r="AG30" s="63"/>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row>
    <row r="31" spans="1:59">
      <c r="A31" s="60" t="s">
        <v>526</v>
      </c>
      <c r="B31" s="61" t="s">
        <v>349</v>
      </c>
      <c r="C31" s="61" t="s">
        <v>350</v>
      </c>
      <c r="D31" s="61" t="s">
        <v>493</v>
      </c>
      <c r="E31" s="61" t="s">
        <v>494</v>
      </c>
      <c r="F31" s="60" t="s">
        <v>495</v>
      </c>
      <c r="G31" s="60" t="s">
        <v>496</v>
      </c>
      <c r="H31" s="62" t="s">
        <v>503</v>
      </c>
      <c r="I31" s="61" t="s">
        <v>498</v>
      </c>
      <c r="J31" s="61">
        <v>4922577</v>
      </c>
      <c r="K31" s="65" t="s">
        <v>499</v>
      </c>
      <c r="L31" s="65">
        <v>3607754</v>
      </c>
      <c r="M31" s="63" t="s">
        <v>383</v>
      </c>
      <c r="N31" s="63" t="s">
        <v>384</v>
      </c>
      <c r="O31" s="65">
        <v>4094917</v>
      </c>
      <c r="P31" s="65">
        <v>4094918</v>
      </c>
      <c r="Q31" s="65">
        <v>4094919</v>
      </c>
      <c r="R31" s="65">
        <v>4094937</v>
      </c>
      <c r="S31" s="65">
        <v>4094921</v>
      </c>
      <c r="T31" s="65">
        <v>4094922</v>
      </c>
      <c r="U31" s="65">
        <v>4094923</v>
      </c>
      <c r="V31" s="65">
        <v>4094924</v>
      </c>
      <c r="W31" s="65">
        <v>4094900</v>
      </c>
      <c r="X31" s="65">
        <v>4094916</v>
      </c>
      <c r="Y31" s="65">
        <v>3607995</v>
      </c>
      <c r="Z31" s="65">
        <v>4009379</v>
      </c>
      <c r="AA31" s="65">
        <v>4094945</v>
      </c>
      <c r="AB31" s="65"/>
      <c r="AC31" s="65" t="s">
        <v>364</v>
      </c>
      <c r="AD31" s="63"/>
      <c r="AE31" s="63"/>
      <c r="AF31" s="63"/>
      <c r="AG31" s="63"/>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row>
    <row r="32" spans="1:59">
      <c r="A32" s="60" t="s">
        <v>526</v>
      </c>
      <c r="B32" s="61" t="s">
        <v>509</v>
      </c>
      <c r="C32" s="61" t="s">
        <v>350</v>
      </c>
      <c r="D32" s="61" t="s">
        <v>493</v>
      </c>
      <c r="E32" s="61" t="s">
        <v>494</v>
      </c>
      <c r="F32" s="60" t="s">
        <v>495</v>
      </c>
      <c r="G32" s="60" t="s">
        <v>496</v>
      </c>
      <c r="H32" s="62" t="s">
        <v>497</v>
      </c>
      <c r="I32" s="61" t="s">
        <v>498</v>
      </c>
      <c r="J32" s="61">
        <v>4998604</v>
      </c>
      <c r="K32" s="65" t="s">
        <v>499</v>
      </c>
      <c r="L32" s="65">
        <v>3607754</v>
      </c>
      <c r="M32" s="63" t="s">
        <v>402</v>
      </c>
      <c r="N32" s="63" t="s">
        <v>403</v>
      </c>
      <c r="O32" s="65">
        <v>4094917</v>
      </c>
      <c r="P32" s="65">
        <v>4094918</v>
      </c>
      <c r="Q32" s="65">
        <v>4094919</v>
      </c>
      <c r="R32" s="65">
        <v>4094920</v>
      </c>
      <c r="S32" s="65">
        <v>4094921</v>
      </c>
      <c r="T32" s="65">
        <v>4094922</v>
      </c>
      <c r="U32" s="65">
        <v>4094923</v>
      </c>
      <c r="V32" s="65">
        <v>4094924</v>
      </c>
      <c r="W32" s="65">
        <v>4094900</v>
      </c>
      <c r="X32" s="65">
        <v>4094916</v>
      </c>
      <c r="Y32" s="65">
        <v>3607995</v>
      </c>
      <c r="Z32" s="65">
        <v>4009379</v>
      </c>
      <c r="AA32" s="65">
        <v>4094945</v>
      </c>
      <c r="AB32" s="65"/>
      <c r="AC32" s="65" t="s">
        <v>357</v>
      </c>
      <c r="AD32" s="63"/>
      <c r="AE32" s="63"/>
      <c r="AF32" s="63"/>
      <c r="AG32" s="63"/>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row>
    <row r="33" spans="1:59">
      <c r="A33" s="60" t="s">
        <v>526</v>
      </c>
      <c r="B33" s="61" t="s">
        <v>509</v>
      </c>
      <c r="C33" s="61" t="s">
        <v>350</v>
      </c>
      <c r="D33" s="61" t="s">
        <v>493</v>
      </c>
      <c r="E33" s="61" t="s">
        <v>494</v>
      </c>
      <c r="F33" s="60" t="s">
        <v>495</v>
      </c>
      <c r="G33" s="60" t="s">
        <v>496</v>
      </c>
      <c r="H33" s="62" t="s">
        <v>503</v>
      </c>
      <c r="I33" s="61" t="s">
        <v>498</v>
      </c>
      <c r="J33" s="61">
        <v>4998605</v>
      </c>
      <c r="K33" s="65" t="s">
        <v>499</v>
      </c>
      <c r="L33" s="65">
        <v>3607754</v>
      </c>
      <c r="M33" s="63" t="s">
        <v>404</v>
      </c>
      <c r="N33" s="63" t="s">
        <v>405</v>
      </c>
      <c r="O33" s="65">
        <v>4094917</v>
      </c>
      <c r="P33" s="65">
        <v>4094918</v>
      </c>
      <c r="Q33" s="65">
        <v>4094919</v>
      </c>
      <c r="R33" s="65">
        <v>4094937</v>
      </c>
      <c r="S33" s="65">
        <v>4094921</v>
      </c>
      <c r="T33" s="65">
        <v>4094922</v>
      </c>
      <c r="U33" s="65">
        <v>4094923</v>
      </c>
      <c r="V33" s="65">
        <v>4094924</v>
      </c>
      <c r="W33" s="65">
        <v>4094900</v>
      </c>
      <c r="X33" s="65">
        <v>4094916</v>
      </c>
      <c r="Y33" s="65">
        <v>3607995</v>
      </c>
      <c r="Z33" s="65">
        <v>4009379</v>
      </c>
      <c r="AA33" s="65">
        <v>4094945</v>
      </c>
      <c r="AB33" s="65"/>
      <c r="AC33" s="65" t="s">
        <v>364</v>
      </c>
      <c r="AD33" s="63"/>
      <c r="AE33" s="63"/>
      <c r="AF33" s="63"/>
      <c r="AG33" s="63"/>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row>
    <row r="34" spans="1:59">
      <c r="A34" s="60" t="s">
        <v>526</v>
      </c>
      <c r="B34" s="61" t="s">
        <v>509</v>
      </c>
      <c r="C34" s="61" t="s">
        <v>350</v>
      </c>
      <c r="D34" s="61" t="s">
        <v>493</v>
      </c>
      <c r="E34" s="61" t="s">
        <v>494</v>
      </c>
      <c r="F34" s="60" t="s">
        <v>504</v>
      </c>
      <c r="G34" s="60" t="s">
        <v>505</v>
      </c>
      <c r="H34" s="62" t="s">
        <v>506</v>
      </c>
      <c r="I34" s="61" t="s">
        <v>498</v>
      </c>
      <c r="J34" s="61">
        <v>4998606</v>
      </c>
      <c r="K34" s="65" t="s">
        <v>499</v>
      </c>
      <c r="L34" s="65">
        <v>3607754</v>
      </c>
      <c r="M34" s="63" t="s">
        <v>406</v>
      </c>
      <c r="N34" s="63" t="s">
        <v>407</v>
      </c>
      <c r="O34" s="65">
        <v>4094917</v>
      </c>
      <c r="P34" s="65">
        <v>4094918</v>
      </c>
      <c r="Q34" s="65">
        <v>4094919</v>
      </c>
      <c r="R34" s="65">
        <v>4094938</v>
      </c>
      <c r="S34" s="65">
        <v>4094921</v>
      </c>
      <c r="T34" s="65">
        <v>4094922</v>
      </c>
      <c r="U34" s="65">
        <v>4094923</v>
      </c>
      <c r="V34" s="65">
        <v>4094924</v>
      </c>
      <c r="W34" s="65">
        <v>4094900</v>
      </c>
      <c r="X34" s="65">
        <v>4094916</v>
      </c>
      <c r="Y34" s="65">
        <v>3607995</v>
      </c>
      <c r="Z34" s="65">
        <v>4009379</v>
      </c>
      <c r="AA34" s="65">
        <v>4094945</v>
      </c>
      <c r="AB34" s="65"/>
      <c r="AC34" s="65" t="s">
        <v>369</v>
      </c>
      <c r="AD34" s="63"/>
      <c r="AE34" s="63"/>
      <c r="AF34" s="63"/>
      <c r="AG34" s="63"/>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row>
    <row r="35" spans="1:59">
      <c r="A35" s="60" t="s">
        <v>526</v>
      </c>
      <c r="B35" s="61" t="s">
        <v>509</v>
      </c>
      <c r="C35" s="61" t="s">
        <v>350</v>
      </c>
      <c r="D35" s="61" t="s">
        <v>493</v>
      </c>
      <c r="E35" s="61" t="s">
        <v>494</v>
      </c>
      <c r="F35" s="60" t="s">
        <v>504</v>
      </c>
      <c r="G35" s="60" t="s">
        <v>505</v>
      </c>
      <c r="H35" s="62" t="s">
        <v>508</v>
      </c>
      <c r="I35" s="61" t="s">
        <v>498</v>
      </c>
      <c r="J35" s="61">
        <v>4998607</v>
      </c>
      <c r="K35" s="65" t="s">
        <v>499</v>
      </c>
      <c r="L35" s="65">
        <v>3607754</v>
      </c>
      <c r="M35" s="63" t="s">
        <v>410</v>
      </c>
      <c r="N35" s="63" t="s">
        <v>411</v>
      </c>
      <c r="O35" s="65">
        <v>4094917</v>
      </c>
      <c r="P35" s="65">
        <v>4094918</v>
      </c>
      <c r="Q35" s="65">
        <v>4094919</v>
      </c>
      <c r="R35" s="65">
        <v>4094939</v>
      </c>
      <c r="S35" s="65">
        <v>4094921</v>
      </c>
      <c r="T35" s="65">
        <v>4094922</v>
      </c>
      <c r="U35" s="65">
        <v>4094923</v>
      </c>
      <c r="V35" s="65">
        <v>4094924</v>
      </c>
      <c r="W35" s="65">
        <v>4094900</v>
      </c>
      <c r="X35" s="65">
        <v>4094916</v>
      </c>
      <c r="Y35" s="65">
        <v>3607995</v>
      </c>
      <c r="Z35" s="65">
        <v>4009379</v>
      </c>
      <c r="AA35" s="65">
        <v>4094945</v>
      </c>
      <c r="AB35" s="65"/>
      <c r="AC35" s="65" t="s">
        <v>375</v>
      </c>
      <c r="AD35" s="63"/>
      <c r="AE35" s="63"/>
      <c r="AF35" s="63"/>
      <c r="AG35" s="63"/>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row>
    <row r="36" spans="1:59">
      <c r="A36" s="60" t="s">
        <v>526</v>
      </c>
      <c r="B36" s="61" t="s">
        <v>349</v>
      </c>
      <c r="C36" s="61" t="s">
        <v>510</v>
      </c>
      <c r="D36" s="61" t="s">
        <v>493</v>
      </c>
      <c r="E36" s="61" t="s">
        <v>494</v>
      </c>
      <c r="F36" s="60" t="s">
        <v>495</v>
      </c>
      <c r="G36" s="60" t="s">
        <v>496</v>
      </c>
      <c r="H36" s="62" t="s">
        <v>497</v>
      </c>
      <c r="I36" s="61" t="s">
        <v>498</v>
      </c>
      <c r="J36" s="61">
        <v>4970671</v>
      </c>
      <c r="K36" s="65" t="s">
        <v>499</v>
      </c>
      <c r="L36" s="65">
        <v>3607754</v>
      </c>
      <c r="M36" s="63" t="s">
        <v>434</v>
      </c>
      <c r="N36" s="63" t="s">
        <v>435</v>
      </c>
      <c r="O36" s="65">
        <v>4094917</v>
      </c>
      <c r="P36" s="65">
        <v>4970640</v>
      </c>
      <c r="Q36" s="65">
        <v>4094919</v>
      </c>
      <c r="R36" s="65">
        <v>4094920</v>
      </c>
      <c r="S36" s="65">
        <v>4094921</v>
      </c>
      <c r="T36" s="65">
        <v>4094922</v>
      </c>
      <c r="U36" s="65">
        <v>4094923</v>
      </c>
      <c r="V36" s="65">
        <v>4094924</v>
      </c>
      <c r="W36" s="65">
        <v>4094900</v>
      </c>
      <c r="X36" s="65">
        <v>4094916</v>
      </c>
      <c r="Y36" s="65">
        <v>3607995</v>
      </c>
      <c r="Z36" s="65">
        <v>4009379</v>
      </c>
      <c r="AA36" s="65">
        <v>4094945</v>
      </c>
      <c r="AB36" s="65"/>
      <c r="AC36" s="65" t="s">
        <v>419</v>
      </c>
      <c r="AD36" s="63"/>
      <c r="AE36" s="63"/>
      <c r="AF36" s="63"/>
      <c r="AG36" s="63"/>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row>
    <row r="37" spans="1:59">
      <c r="A37" s="60" t="s">
        <v>526</v>
      </c>
      <c r="B37" s="61" t="s">
        <v>349</v>
      </c>
      <c r="C37" s="61" t="s">
        <v>510</v>
      </c>
      <c r="D37" s="61" t="s">
        <v>493</v>
      </c>
      <c r="E37" s="61" t="s">
        <v>494</v>
      </c>
      <c r="F37" s="60" t="s">
        <v>495</v>
      </c>
      <c r="G37" s="60" t="s">
        <v>496</v>
      </c>
      <c r="H37" s="62" t="s">
        <v>503</v>
      </c>
      <c r="I37" s="61" t="s">
        <v>498</v>
      </c>
      <c r="J37" s="61">
        <v>4970672</v>
      </c>
      <c r="K37" s="65" t="s">
        <v>499</v>
      </c>
      <c r="L37" s="65">
        <v>3607754</v>
      </c>
      <c r="M37" s="63" t="s">
        <v>436</v>
      </c>
      <c r="N37" s="63" t="s">
        <v>437</v>
      </c>
      <c r="O37" s="65">
        <v>4094917</v>
      </c>
      <c r="P37" s="65">
        <v>4970640</v>
      </c>
      <c r="Q37" s="65">
        <v>4094919</v>
      </c>
      <c r="R37" s="65">
        <v>4094937</v>
      </c>
      <c r="S37" s="65">
        <v>4094921</v>
      </c>
      <c r="T37" s="65">
        <v>4094922</v>
      </c>
      <c r="U37" s="65">
        <v>4094923</v>
      </c>
      <c r="V37" s="65">
        <v>4094924</v>
      </c>
      <c r="W37" s="65">
        <v>4094900</v>
      </c>
      <c r="X37" s="65">
        <v>4094916</v>
      </c>
      <c r="Y37" s="65">
        <v>3607995</v>
      </c>
      <c r="Z37" s="65">
        <v>4009379</v>
      </c>
      <c r="AA37" s="65">
        <v>4094945</v>
      </c>
      <c r="AB37" s="65"/>
      <c r="AC37" s="65" t="s">
        <v>423</v>
      </c>
      <c r="AD37" s="63"/>
      <c r="AE37" s="63"/>
      <c r="AF37" s="63"/>
      <c r="AG37" s="63"/>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row>
    <row r="38" spans="1:59">
      <c r="A38" s="60" t="s">
        <v>526</v>
      </c>
      <c r="B38" s="61" t="s">
        <v>349</v>
      </c>
      <c r="C38" s="61" t="s">
        <v>510</v>
      </c>
      <c r="D38" s="61" t="s">
        <v>493</v>
      </c>
      <c r="E38" s="61" t="s">
        <v>494</v>
      </c>
      <c r="F38" s="60" t="s">
        <v>504</v>
      </c>
      <c r="G38" s="60" t="s">
        <v>505</v>
      </c>
      <c r="H38" s="62" t="s">
        <v>506</v>
      </c>
      <c r="I38" s="61" t="s">
        <v>498</v>
      </c>
      <c r="J38" s="61">
        <v>4970673</v>
      </c>
      <c r="K38" s="65" t="s">
        <v>499</v>
      </c>
      <c r="L38" s="65">
        <v>3607754</v>
      </c>
      <c r="M38" s="63" t="s">
        <v>438</v>
      </c>
      <c r="N38" s="63" t="s">
        <v>439</v>
      </c>
      <c r="O38" s="65">
        <v>4094917</v>
      </c>
      <c r="P38" s="65">
        <v>4970640</v>
      </c>
      <c r="Q38" s="65">
        <v>4094919</v>
      </c>
      <c r="R38" s="65">
        <v>4094938</v>
      </c>
      <c r="S38" s="65">
        <v>4094921</v>
      </c>
      <c r="T38" s="65">
        <v>4094922</v>
      </c>
      <c r="U38" s="65">
        <v>4094923</v>
      </c>
      <c r="V38" s="65">
        <v>4094924</v>
      </c>
      <c r="W38" s="65">
        <v>4094900</v>
      </c>
      <c r="X38" s="65">
        <v>4094916</v>
      </c>
      <c r="Y38" s="65">
        <v>3607995</v>
      </c>
      <c r="Z38" s="65">
        <v>4009379</v>
      </c>
      <c r="AA38" s="65">
        <v>4094945</v>
      </c>
      <c r="AB38" s="65"/>
      <c r="AC38" s="65" t="s">
        <v>428</v>
      </c>
      <c r="AD38" s="63"/>
      <c r="AE38" s="63"/>
      <c r="AF38" s="63"/>
      <c r="AG38" s="63"/>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row>
    <row r="39" spans="1:59">
      <c r="A39" s="60" t="s">
        <v>526</v>
      </c>
      <c r="B39" s="61" t="s">
        <v>349</v>
      </c>
      <c r="C39" s="61" t="s">
        <v>510</v>
      </c>
      <c r="D39" s="61" t="s">
        <v>493</v>
      </c>
      <c r="E39" s="61" t="s">
        <v>494</v>
      </c>
      <c r="F39" s="60" t="s">
        <v>504</v>
      </c>
      <c r="G39" s="60" t="s">
        <v>505</v>
      </c>
      <c r="H39" s="62" t="s">
        <v>508</v>
      </c>
      <c r="I39" s="61" t="s">
        <v>498</v>
      </c>
      <c r="J39" s="61">
        <v>4970674</v>
      </c>
      <c r="K39" s="65" t="s">
        <v>499</v>
      </c>
      <c r="L39" s="65">
        <v>3607754</v>
      </c>
      <c r="M39" s="63" t="s">
        <v>440</v>
      </c>
      <c r="N39" s="63" t="s">
        <v>441</v>
      </c>
      <c r="O39" s="65">
        <v>4094917</v>
      </c>
      <c r="P39" s="65">
        <v>4970640</v>
      </c>
      <c r="Q39" s="65">
        <v>4094919</v>
      </c>
      <c r="R39" s="65">
        <v>4094939</v>
      </c>
      <c r="S39" s="65">
        <v>4094921</v>
      </c>
      <c r="T39" s="65">
        <v>4094922</v>
      </c>
      <c r="U39" s="65">
        <v>4094923</v>
      </c>
      <c r="V39" s="65">
        <v>4094924</v>
      </c>
      <c r="W39" s="65">
        <v>4094900</v>
      </c>
      <c r="X39" s="65">
        <v>4094916</v>
      </c>
      <c r="Y39" s="65">
        <v>3607995</v>
      </c>
      <c r="Z39" s="65">
        <v>4009379</v>
      </c>
      <c r="AA39" s="65">
        <v>4094945</v>
      </c>
      <c r="AB39" s="65"/>
      <c r="AC39" s="65" t="s">
        <v>433</v>
      </c>
      <c r="AD39" s="63"/>
      <c r="AE39" s="63"/>
      <c r="AF39" s="63"/>
      <c r="AG39" s="63"/>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row>
    <row r="40" spans="1:59">
      <c r="A40" s="60" t="s">
        <v>526</v>
      </c>
      <c r="B40" s="61" t="s">
        <v>509</v>
      </c>
      <c r="C40" s="61" t="s">
        <v>510</v>
      </c>
      <c r="D40" s="61" t="s">
        <v>493</v>
      </c>
      <c r="E40" s="61" t="s">
        <v>494</v>
      </c>
      <c r="F40" s="60" t="s">
        <v>495</v>
      </c>
      <c r="G40" s="60" t="s">
        <v>496</v>
      </c>
      <c r="H40" s="62" t="s">
        <v>497</v>
      </c>
      <c r="I40" s="61" t="s">
        <v>498</v>
      </c>
      <c r="J40" s="61">
        <v>2873634</v>
      </c>
      <c r="K40" s="65" t="s">
        <v>499</v>
      </c>
      <c r="L40" s="65">
        <v>3607754</v>
      </c>
      <c r="M40" s="63" t="s">
        <v>459</v>
      </c>
      <c r="N40" s="63" t="s">
        <v>460</v>
      </c>
      <c r="O40" s="65">
        <v>4094917</v>
      </c>
      <c r="P40" s="65">
        <v>4970640</v>
      </c>
      <c r="Q40" s="65">
        <v>4094919</v>
      </c>
      <c r="R40" s="65">
        <v>4094920</v>
      </c>
      <c r="S40" s="65">
        <v>4094921</v>
      </c>
      <c r="T40" s="65">
        <v>4094922</v>
      </c>
      <c r="U40" s="65">
        <v>4094923</v>
      </c>
      <c r="V40" s="65">
        <v>4094924</v>
      </c>
      <c r="W40" s="65">
        <v>4094900</v>
      </c>
      <c r="X40" s="65">
        <v>4094916</v>
      </c>
      <c r="Y40" s="65">
        <v>3607995</v>
      </c>
      <c r="Z40" s="65">
        <v>4009379</v>
      </c>
      <c r="AA40" s="65">
        <v>4094945</v>
      </c>
      <c r="AB40" s="65"/>
      <c r="AC40" s="65" t="s">
        <v>452</v>
      </c>
      <c r="AD40" s="63"/>
      <c r="AE40" s="63"/>
      <c r="AF40" s="63"/>
      <c r="AG40" s="63"/>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row>
    <row r="41" spans="1:59">
      <c r="A41" s="60" t="s">
        <v>526</v>
      </c>
      <c r="B41" s="61" t="s">
        <v>509</v>
      </c>
      <c r="C41" s="61" t="s">
        <v>510</v>
      </c>
      <c r="D41" s="61" t="s">
        <v>493</v>
      </c>
      <c r="E41" s="61" t="s">
        <v>494</v>
      </c>
      <c r="F41" s="60" t="s">
        <v>495</v>
      </c>
      <c r="G41" s="60" t="s">
        <v>496</v>
      </c>
      <c r="H41" s="62" t="s">
        <v>503</v>
      </c>
      <c r="I41" s="61" t="s">
        <v>498</v>
      </c>
      <c r="J41" s="61">
        <v>2873635</v>
      </c>
      <c r="K41" s="65" t="s">
        <v>499</v>
      </c>
      <c r="L41" s="65">
        <v>3607754</v>
      </c>
      <c r="M41" s="65" t="s">
        <v>461</v>
      </c>
      <c r="N41" s="63" t="s">
        <v>462</v>
      </c>
      <c r="O41" s="65">
        <v>4094917</v>
      </c>
      <c r="P41" s="65">
        <v>4970640</v>
      </c>
      <c r="Q41" s="65">
        <v>4094919</v>
      </c>
      <c r="R41" s="65">
        <v>4094937</v>
      </c>
      <c r="S41" s="65">
        <v>4094921</v>
      </c>
      <c r="T41" s="65">
        <v>4094922</v>
      </c>
      <c r="U41" s="65">
        <v>4094923</v>
      </c>
      <c r="V41" s="65">
        <v>4094924</v>
      </c>
      <c r="W41" s="65">
        <v>4094900</v>
      </c>
      <c r="X41" s="65">
        <v>4094916</v>
      </c>
      <c r="Y41" s="65">
        <v>3607995</v>
      </c>
      <c r="Z41" s="65">
        <v>4009379</v>
      </c>
      <c r="AA41" s="65">
        <v>4094945</v>
      </c>
      <c r="AB41" s="65"/>
      <c r="AC41" s="65" t="s">
        <v>454</v>
      </c>
      <c r="AD41" s="63"/>
      <c r="AE41" s="63"/>
      <c r="AF41" s="63"/>
      <c r="AG41" s="63"/>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row>
    <row r="42" spans="1:59">
      <c r="A42" s="60" t="s">
        <v>526</v>
      </c>
      <c r="B42" s="61" t="s">
        <v>509</v>
      </c>
      <c r="C42" s="61" t="s">
        <v>510</v>
      </c>
      <c r="D42" s="61" t="s">
        <v>493</v>
      </c>
      <c r="E42" s="61" t="s">
        <v>494</v>
      </c>
      <c r="F42" s="60" t="s">
        <v>504</v>
      </c>
      <c r="G42" s="60" t="s">
        <v>505</v>
      </c>
      <c r="H42" s="62" t="s">
        <v>506</v>
      </c>
      <c r="I42" s="61" t="s">
        <v>498</v>
      </c>
      <c r="J42" s="61">
        <v>2873636</v>
      </c>
      <c r="K42" s="65" t="s">
        <v>499</v>
      </c>
      <c r="L42" s="65">
        <v>3607754</v>
      </c>
      <c r="M42" s="63" t="s">
        <v>463</v>
      </c>
      <c r="N42" s="63" t="s">
        <v>464</v>
      </c>
      <c r="O42" s="65">
        <v>4094917</v>
      </c>
      <c r="P42" s="65">
        <v>4970640</v>
      </c>
      <c r="Q42" s="65">
        <v>4094919</v>
      </c>
      <c r="R42" s="65">
        <v>4094938</v>
      </c>
      <c r="S42" s="65">
        <v>4094921</v>
      </c>
      <c r="T42" s="65">
        <v>4094922</v>
      </c>
      <c r="U42" s="65">
        <v>4094923</v>
      </c>
      <c r="V42" s="65">
        <v>4094924</v>
      </c>
      <c r="W42" s="65">
        <v>4094900</v>
      </c>
      <c r="X42" s="65">
        <v>4094916</v>
      </c>
      <c r="Y42" s="65">
        <v>3607995</v>
      </c>
      <c r="Z42" s="65">
        <v>4009379</v>
      </c>
      <c r="AA42" s="65">
        <v>4094945</v>
      </c>
      <c r="AB42" s="65"/>
      <c r="AC42" s="65" t="s">
        <v>456</v>
      </c>
      <c r="AD42" s="63"/>
      <c r="AE42" s="63"/>
      <c r="AF42" s="63"/>
      <c r="AG42" s="63"/>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row>
    <row r="43" spans="1:59">
      <c r="A43" s="60" t="s">
        <v>526</v>
      </c>
      <c r="B43" s="61" t="s">
        <v>509</v>
      </c>
      <c r="C43" s="61" t="s">
        <v>510</v>
      </c>
      <c r="D43" s="61" t="s">
        <v>493</v>
      </c>
      <c r="E43" s="61" t="s">
        <v>494</v>
      </c>
      <c r="F43" s="60" t="s">
        <v>504</v>
      </c>
      <c r="G43" s="60" t="s">
        <v>505</v>
      </c>
      <c r="H43" s="62" t="s">
        <v>508</v>
      </c>
      <c r="I43" s="61" t="s">
        <v>498</v>
      </c>
      <c r="J43" s="61">
        <v>2873637</v>
      </c>
      <c r="K43" s="65" t="s">
        <v>499</v>
      </c>
      <c r="L43" s="65">
        <v>3607754</v>
      </c>
      <c r="M43" s="63" t="s">
        <v>465</v>
      </c>
      <c r="N43" s="63" t="s">
        <v>466</v>
      </c>
      <c r="O43" s="65">
        <v>4094917</v>
      </c>
      <c r="P43" s="65">
        <v>4970640</v>
      </c>
      <c r="Q43" s="65">
        <v>4094919</v>
      </c>
      <c r="R43" s="65">
        <v>4094939</v>
      </c>
      <c r="S43" s="65">
        <v>4094921</v>
      </c>
      <c r="T43" s="65">
        <v>4094922</v>
      </c>
      <c r="U43" s="65">
        <v>4094923</v>
      </c>
      <c r="V43" s="65">
        <v>4094924</v>
      </c>
      <c r="W43" s="65">
        <v>4094900</v>
      </c>
      <c r="X43" s="65">
        <v>4094916</v>
      </c>
      <c r="Y43" s="65">
        <v>3607995</v>
      </c>
      <c r="Z43" s="65">
        <v>4009379</v>
      </c>
      <c r="AA43" s="65">
        <v>4094945</v>
      </c>
      <c r="AB43" s="65"/>
      <c r="AC43" s="65" t="s">
        <v>458</v>
      </c>
      <c r="AD43" s="63"/>
      <c r="AE43" s="63"/>
      <c r="AF43" s="63"/>
      <c r="AG43" s="63"/>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row>
    <row r="44" spans="1:59" ht="15">
      <c r="A44" s="60" t="s">
        <v>527</v>
      </c>
      <c r="B44" s="61" t="s">
        <v>349</v>
      </c>
      <c r="C44" s="61" t="s">
        <v>350</v>
      </c>
      <c r="D44" s="61" t="s">
        <v>493</v>
      </c>
      <c r="E44" s="61" t="s">
        <v>494</v>
      </c>
      <c r="F44" s="60" t="s">
        <v>504</v>
      </c>
      <c r="G44" s="60" t="s">
        <v>505</v>
      </c>
      <c r="H44" s="62" t="s">
        <v>506</v>
      </c>
      <c r="I44" s="61" t="s">
        <v>498</v>
      </c>
      <c r="J44" s="61">
        <v>4922574</v>
      </c>
      <c r="K44" s="65" t="s">
        <v>499</v>
      </c>
      <c r="L44" s="65">
        <v>4954431</v>
      </c>
      <c r="M44" s="65" t="s">
        <v>377</v>
      </c>
      <c r="N44" s="65" t="s">
        <v>378</v>
      </c>
      <c r="O44" s="65">
        <v>4094917</v>
      </c>
      <c r="P44" s="65">
        <v>4094918</v>
      </c>
      <c r="Q44" s="65">
        <v>4094919</v>
      </c>
      <c r="R44" s="65">
        <v>4094938</v>
      </c>
      <c r="S44" s="65">
        <v>4094921</v>
      </c>
      <c r="T44" s="65">
        <v>4094922</v>
      </c>
      <c r="U44" s="65">
        <v>4094923</v>
      </c>
      <c r="V44" s="65">
        <v>4094924</v>
      </c>
      <c r="W44" s="65">
        <v>4094900</v>
      </c>
      <c r="X44" s="65">
        <v>4094916</v>
      </c>
      <c r="Y44" s="65">
        <v>3607995</v>
      </c>
      <c r="Z44" s="65">
        <v>4009379</v>
      </c>
      <c r="AA44" s="65">
        <v>4094945</v>
      </c>
      <c r="AB44" s="65"/>
      <c r="AC44" s="66" t="s">
        <v>369</v>
      </c>
      <c r="AD44" s="67"/>
      <c r="AE44" s="63"/>
      <c r="AF44" s="63"/>
      <c r="AG44" s="63"/>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row>
    <row r="45" spans="1:59" ht="15">
      <c r="A45" s="60" t="s">
        <v>527</v>
      </c>
      <c r="B45" s="61" t="s">
        <v>349</v>
      </c>
      <c r="C45" s="61" t="s">
        <v>350</v>
      </c>
      <c r="D45" s="61" t="s">
        <v>493</v>
      </c>
      <c r="E45" s="61" t="s">
        <v>494</v>
      </c>
      <c r="F45" s="60" t="s">
        <v>504</v>
      </c>
      <c r="G45" s="60" t="s">
        <v>505</v>
      </c>
      <c r="H45" s="62" t="s">
        <v>508</v>
      </c>
      <c r="I45" s="61" t="s">
        <v>498</v>
      </c>
      <c r="J45" s="61">
        <v>4922575</v>
      </c>
      <c r="K45" s="65" t="s">
        <v>499</v>
      </c>
      <c r="L45" s="65">
        <v>4954431</v>
      </c>
      <c r="M45" s="65" t="s">
        <v>379</v>
      </c>
      <c r="N45" s="65" t="s">
        <v>380</v>
      </c>
      <c r="O45" s="65">
        <v>4094917</v>
      </c>
      <c r="P45" s="65">
        <v>4094918</v>
      </c>
      <c r="Q45" s="65">
        <v>4094919</v>
      </c>
      <c r="R45" s="65">
        <v>4094939</v>
      </c>
      <c r="S45" s="65">
        <v>4094921</v>
      </c>
      <c r="T45" s="65">
        <v>4094922</v>
      </c>
      <c r="U45" s="65">
        <v>4094923</v>
      </c>
      <c r="V45" s="65">
        <v>4094924</v>
      </c>
      <c r="W45" s="65">
        <v>4094900</v>
      </c>
      <c r="X45" s="65">
        <v>4094916</v>
      </c>
      <c r="Y45" s="65">
        <v>3607995</v>
      </c>
      <c r="Z45" s="65">
        <v>4009379</v>
      </c>
      <c r="AA45" s="65">
        <v>4094945</v>
      </c>
      <c r="AB45" s="65"/>
      <c r="AC45" s="66" t="s">
        <v>375</v>
      </c>
      <c r="AD45" s="67"/>
      <c r="AE45" s="63"/>
      <c r="AF45" s="63"/>
      <c r="AG45" s="63"/>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row>
    <row r="46" spans="1:59" ht="15">
      <c r="A46" s="60" t="s">
        <v>527</v>
      </c>
      <c r="B46" s="61" t="s">
        <v>349</v>
      </c>
      <c r="C46" s="61" t="s">
        <v>350</v>
      </c>
      <c r="D46" s="61" t="s">
        <v>493</v>
      </c>
      <c r="E46" s="61" t="s">
        <v>494</v>
      </c>
      <c r="F46" s="60" t="s">
        <v>495</v>
      </c>
      <c r="G46" s="60" t="s">
        <v>496</v>
      </c>
      <c r="H46" s="62" t="s">
        <v>497</v>
      </c>
      <c r="I46" s="61" t="s">
        <v>498</v>
      </c>
      <c r="J46" s="61">
        <v>4922576</v>
      </c>
      <c r="K46" s="65" t="s">
        <v>499</v>
      </c>
      <c r="L46" s="65">
        <v>4954431</v>
      </c>
      <c r="M46" s="65" t="s">
        <v>381</v>
      </c>
      <c r="N46" s="65" t="s">
        <v>382</v>
      </c>
      <c r="O46" s="65">
        <v>4094917</v>
      </c>
      <c r="P46" s="65">
        <v>4094918</v>
      </c>
      <c r="Q46" s="65">
        <v>4094919</v>
      </c>
      <c r="R46" s="65">
        <v>4094920</v>
      </c>
      <c r="S46" s="65">
        <v>4094921</v>
      </c>
      <c r="T46" s="65">
        <v>4094922</v>
      </c>
      <c r="U46" s="65">
        <v>4094923</v>
      </c>
      <c r="V46" s="65">
        <v>4094924</v>
      </c>
      <c r="W46" s="65">
        <v>4094900</v>
      </c>
      <c r="X46" s="65">
        <v>4094916</v>
      </c>
      <c r="Y46" s="65">
        <v>3607995</v>
      </c>
      <c r="Z46" s="65">
        <v>4009379</v>
      </c>
      <c r="AA46" s="65">
        <v>4094945</v>
      </c>
      <c r="AB46" s="65"/>
      <c r="AC46" s="66" t="s">
        <v>357</v>
      </c>
      <c r="AD46" s="67"/>
      <c r="AE46" s="63"/>
      <c r="AF46" s="63"/>
      <c r="AG46" s="63"/>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row>
    <row r="47" spans="1:59" ht="15">
      <c r="A47" s="60" t="s">
        <v>527</v>
      </c>
      <c r="B47" s="61" t="s">
        <v>349</v>
      </c>
      <c r="C47" s="61" t="s">
        <v>350</v>
      </c>
      <c r="D47" s="61" t="s">
        <v>493</v>
      </c>
      <c r="E47" s="61" t="s">
        <v>494</v>
      </c>
      <c r="F47" s="60" t="s">
        <v>495</v>
      </c>
      <c r="G47" s="60" t="s">
        <v>496</v>
      </c>
      <c r="H47" s="62" t="s">
        <v>503</v>
      </c>
      <c r="I47" s="61" t="s">
        <v>498</v>
      </c>
      <c r="J47" s="61">
        <v>4922577</v>
      </c>
      <c r="K47" s="65" t="s">
        <v>499</v>
      </c>
      <c r="L47" s="65">
        <v>4954431</v>
      </c>
      <c r="M47" s="65" t="s">
        <v>383</v>
      </c>
      <c r="N47" s="65" t="s">
        <v>384</v>
      </c>
      <c r="O47" s="65">
        <v>4094917</v>
      </c>
      <c r="P47" s="65">
        <v>4094918</v>
      </c>
      <c r="Q47" s="65">
        <v>4094919</v>
      </c>
      <c r="R47" s="65">
        <v>4094937</v>
      </c>
      <c r="S47" s="65">
        <v>4094921</v>
      </c>
      <c r="T47" s="65">
        <v>4094922</v>
      </c>
      <c r="U47" s="65">
        <v>4094923</v>
      </c>
      <c r="V47" s="65">
        <v>4094924</v>
      </c>
      <c r="W47" s="65">
        <v>4094900</v>
      </c>
      <c r="X47" s="65">
        <v>4094916</v>
      </c>
      <c r="Y47" s="65">
        <v>3607995</v>
      </c>
      <c r="Z47" s="65">
        <v>4009379</v>
      </c>
      <c r="AA47" s="65">
        <v>4094945</v>
      </c>
      <c r="AB47" s="65"/>
      <c r="AC47" s="66" t="s">
        <v>364</v>
      </c>
      <c r="AD47" s="67"/>
      <c r="AE47" s="63"/>
      <c r="AF47" s="63"/>
      <c r="AG47" s="63"/>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row>
    <row r="48" spans="1:59" ht="15">
      <c r="A48" s="60" t="s">
        <v>527</v>
      </c>
      <c r="B48" s="61" t="s">
        <v>509</v>
      </c>
      <c r="C48" s="61" t="s">
        <v>350</v>
      </c>
      <c r="D48" s="61" t="s">
        <v>493</v>
      </c>
      <c r="E48" s="61" t="s">
        <v>494</v>
      </c>
      <c r="F48" s="60" t="s">
        <v>495</v>
      </c>
      <c r="G48" s="60" t="s">
        <v>496</v>
      </c>
      <c r="H48" s="62" t="s">
        <v>497</v>
      </c>
      <c r="I48" s="61" t="s">
        <v>498</v>
      </c>
      <c r="J48" s="61">
        <v>4998604</v>
      </c>
      <c r="K48" s="65" t="s">
        <v>499</v>
      </c>
      <c r="L48" s="65">
        <v>4954431</v>
      </c>
      <c r="M48" s="65" t="s">
        <v>402</v>
      </c>
      <c r="N48" s="65" t="s">
        <v>403</v>
      </c>
      <c r="O48" s="65">
        <v>4094917</v>
      </c>
      <c r="P48" s="65">
        <v>4094918</v>
      </c>
      <c r="Q48" s="65">
        <v>4094919</v>
      </c>
      <c r="R48" s="65">
        <v>4094920</v>
      </c>
      <c r="S48" s="65">
        <v>4094921</v>
      </c>
      <c r="T48" s="65">
        <v>4094922</v>
      </c>
      <c r="U48" s="65">
        <v>4094923</v>
      </c>
      <c r="V48" s="65">
        <v>4094924</v>
      </c>
      <c r="W48" s="65">
        <v>4094900</v>
      </c>
      <c r="X48" s="65">
        <v>4094916</v>
      </c>
      <c r="Y48" s="65">
        <v>3607995</v>
      </c>
      <c r="Z48" s="65">
        <v>4009379</v>
      </c>
      <c r="AA48" s="65">
        <v>4094945</v>
      </c>
      <c r="AB48" s="65"/>
      <c r="AC48" s="66" t="s">
        <v>357</v>
      </c>
      <c r="AD48" s="67"/>
      <c r="AE48" s="63"/>
      <c r="AF48" s="63"/>
      <c r="AG48" s="63"/>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row>
    <row r="49" spans="1:59" ht="15">
      <c r="A49" s="60" t="s">
        <v>527</v>
      </c>
      <c r="B49" s="61" t="s">
        <v>509</v>
      </c>
      <c r="C49" s="61" t="s">
        <v>350</v>
      </c>
      <c r="D49" s="61" t="s">
        <v>493</v>
      </c>
      <c r="E49" s="61" t="s">
        <v>494</v>
      </c>
      <c r="F49" s="60" t="s">
        <v>495</v>
      </c>
      <c r="G49" s="60" t="s">
        <v>496</v>
      </c>
      <c r="H49" s="62" t="s">
        <v>503</v>
      </c>
      <c r="I49" s="61" t="s">
        <v>498</v>
      </c>
      <c r="J49" s="61">
        <v>4998605</v>
      </c>
      <c r="K49" s="65" t="s">
        <v>499</v>
      </c>
      <c r="L49" s="65">
        <v>4954431</v>
      </c>
      <c r="M49" s="65" t="s">
        <v>404</v>
      </c>
      <c r="N49" s="65" t="s">
        <v>405</v>
      </c>
      <c r="O49" s="65">
        <v>4094917</v>
      </c>
      <c r="P49" s="65">
        <v>4094918</v>
      </c>
      <c r="Q49" s="65">
        <v>4094919</v>
      </c>
      <c r="R49" s="65">
        <v>4094937</v>
      </c>
      <c r="S49" s="65">
        <v>4094921</v>
      </c>
      <c r="T49" s="65">
        <v>4094922</v>
      </c>
      <c r="U49" s="65">
        <v>4094923</v>
      </c>
      <c r="V49" s="65">
        <v>4094924</v>
      </c>
      <c r="W49" s="65">
        <v>4094900</v>
      </c>
      <c r="X49" s="65">
        <v>4094916</v>
      </c>
      <c r="Y49" s="65">
        <v>3607995</v>
      </c>
      <c r="Z49" s="65">
        <v>4009379</v>
      </c>
      <c r="AA49" s="65">
        <v>4094945</v>
      </c>
      <c r="AB49" s="65"/>
      <c r="AC49" s="66" t="s">
        <v>364</v>
      </c>
      <c r="AD49" s="67"/>
      <c r="AE49" s="63"/>
      <c r="AF49" s="63"/>
      <c r="AG49" s="63"/>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row>
    <row r="50" spans="1:59" ht="15">
      <c r="A50" s="60" t="s">
        <v>527</v>
      </c>
      <c r="B50" s="61" t="s">
        <v>509</v>
      </c>
      <c r="C50" s="61" t="s">
        <v>350</v>
      </c>
      <c r="D50" s="61" t="s">
        <v>493</v>
      </c>
      <c r="E50" s="61" t="s">
        <v>494</v>
      </c>
      <c r="F50" s="60" t="s">
        <v>504</v>
      </c>
      <c r="G50" s="60" t="s">
        <v>505</v>
      </c>
      <c r="H50" s="62" t="s">
        <v>506</v>
      </c>
      <c r="I50" s="61" t="s">
        <v>498</v>
      </c>
      <c r="J50" s="61">
        <v>4998606</v>
      </c>
      <c r="K50" s="65" t="s">
        <v>499</v>
      </c>
      <c r="L50" s="65">
        <v>4954431</v>
      </c>
      <c r="M50" s="65" t="s">
        <v>406</v>
      </c>
      <c r="N50" s="65" t="s">
        <v>407</v>
      </c>
      <c r="O50" s="65">
        <v>4094917</v>
      </c>
      <c r="P50" s="65">
        <v>4094918</v>
      </c>
      <c r="Q50" s="65">
        <v>4094919</v>
      </c>
      <c r="R50" s="65">
        <v>4094938</v>
      </c>
      <c r="S50" s="65">
        <v>4094921</v>
      </c>
      <c r="T50" s="65">
        <v>4094922</v>
      </c>
      <c r="U50" s="65">
        <v>4094923</v>
      </c>
      <c r="V50" s="65">
        <v>4094924</v>
      </c>
      <c r="W50" s="65">
        <v>4094900</v>
      </c>
      <c r="X50" s="65">
        <v>4094916</v>
      </c>
      <c r="Y50" s="65">
        <v>3607995</v>
      </c>
      <c r="Z50" s="65">
        <v>4009379</v>
      </c>
      <c r="AA50" s="65">
        <v>4094945</v>
      </c>
      <c r="AB50" s="65"/>
      <c r="AC50" s="66" t="s">
        <v>369</v>
      </c>
      <c r="AD50" s="67"/>
      <c r="AE50" s="63"/>
      <c r="AF50" s="63"/>
      <c r="AG50" s="63"/>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row>
    <row r="51" spans="1:59" ht="15">
      <c r="A51" s="60" t="s">
        <v>527</v>
      </c>
      <c r="B51" s="61" t="s">
        <v>509</v>
      </c>
      <c r="C51" s="61" t="s">
        <v>350</v>
      </c>
      <c r="D51" s="61" t="s">
        <v>493</v>
      </c>
      <c r="E51" s="61" t="s">
        <v>494</v>
      </c>
      <c r="F51" s="60" t="s">
        <v>504</v>
      </c>
      <c r="G51" s="60" t="s">
        <v>505</v>
      </c>
      <c r="H51" s="62" t="s">
        <v>508</v>
      </c>
      <c r="I51" s="61" t="s">
        <v>498</v>
      </c>
      <c r="J51" s="61">
        <v>4998607</v>
      </c>
      <c r="K51" s="65" t="s">
        <v>499</v>
      </c>
      <c r="L51" s="65">
        <v>4954431</v>
      </c>
      <c r="M51" s="65" t="s">
        <v>410</v>
      </c>
      <c r="N51" s="65" t="s">
        <v>411</v>
      </c>
      <c r="O51" s="65">
        <v>4094917</v>
      </c>
      <c r="P51" s="65">
        <v>4094918</v>
      </c>
      <c r="Q51" s="65">
        <v>4094919</v>
      </c>
      <c r="R51" s="65">
        <v>4094939</v>
      </c>
      <c r="S51" s="65">
        <v>4094921</v>
      </c>
      <c r="T51" s="65">
        <v>4094922</v>
      </c>
      <c r="U51" s="65">
        <v>4094923</v>
      </c>
      <c r="V51" s="65">
        <v>4094924</v>
      </c>
      <c r="W51" s="65">
        <v>4094900</v>
      </c>
      <c r="X51" s="65">
        <v>4094916</v>
      </c>
      <c r="Y51" s="65">
        <v>3607995</v>
      </c>
      <c r="Z51" s="65">
        <v>4009379</v>
      </c>
      <c r="AA51" s="65">
        <v>4094945</v>
      </c>
      <c r="AB51" s="65"/>
      <c r="AC51" s="66" t="s">
        <v>375</v>
      </c>
      <c r="AD51" s="67"/>
      <c r="AE51" s="63"/>
      <c r="AF51" s="63"/>
      <c r="AG51" s="63"/>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row>
    <row r="52" spans="1:59" ht="15">
      <c r="A52" s="60" t="s">
        <v>527</v>
      </c>
      <c r="B52" s="61" t="s">
        <v>349</v>
      </c>
      <c r="C52" s="61" t="s">
        <v>510</v>
      </c>
      <c r="D52" s="61" t="s">
        <v>493</v>
      </c>
      <c r="E52" s="61" t="s">
        <v>494</v>
      </c>
      <c r="F52" s="60" t="s">
        <v>495</v>
      </c>
      <c r="G52" s="60" t="s">
        <v>496</v>
      </c>
      <c r="H52" s="62" t="s">
        <v>497</v>
      </c>
      <c r="I52" s="61" t="s">
        <v>498</v>
      </c>
      <c r="J52" s="61">
        <v>4970671</v>
      </c>
      <c r="K52" s="65" t="s">
        <v>499</v>
      </c>
      <c r="L52" s="65">
        <v>4954431</v>
      </c>
      <c r="M52" s="65" t="s">
        <v>434</v>
      </c>
      <c r="N52" s="65" t="s">
        <v>435</v>
      </c>
      <c r="O52" s="65">
        <v>4094917</v>
      </c>
      <c r="P52" s="65">
        <v>4970640</v>
      </c>
      <c r="Q52" s="65">
        <v>4094919</v>
      </c>
      <c r="R52" s="65">
        <v>4094920</v>
      </c>
      <c r="S52" s="65">
        <v>4094921</v>
      </c>
      <c r="T52" s="65">
        <v>4094922</v>
      </c>
      <c r="U52" s="65">
        <v>4094923</v>
      </c>
      <c r="V52" s="65">
        <v>4094924</v>
      </c>
      <c r="W52" s="65">
        <v>4094900</v>
      </c>
      <c r="X52" s="65">
        <v>4094916</v>
      </c>
      <c r="Y52" s="65">
        <v>3607995</v>
      </c>
      <c r="Z52" s="65">
        <v>4009379</v>
      </c>
      <c r="AA52" s="65">
        <v>4094945</v>
      </c>
      <c r="AB52" s="65"/>
      <c r="AC52" s="66" t="s">
        <v>419</v>
      </c>
      <c r="AD52" s="67"/>
      <c r="AE52" s="63"/>
      <c r="AF52" s="63"/>
      <c r="AG52" s="63"/>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row>
    <row r="53" spans="1:59" ht="15">
      <c r="A53" s="60" t="s">
        <v>527</v>
      </c>
      <c r="B53" s="61" t="s">
        <v>349</v>
      </c>
      <c r="C53" s="61" t="s">
        <v>510</v>
      </c>
      <c r="D53" s="61" t="s">
        <v>493</v>
      </c>
      <c r="E53" s="61" t="s">
        <v>494</v>
      </c>
      <c r="F53" s="60" t="s">
        <v>495</v>
      </c>
      <c r="G53" s="60" t="s">
        <v>496</v>
      </c>
      <c r="H53" s="62" t="s">
        <v>503</v>
      </c>
      <c r="I53" s="61" t="s">
        <v>498</v>
      </c>
      <c r="J53" s="61">
        <v>4970672</v>
      </c>
      <c r="K53" s="65" t="s">
        <v>499</v>
      </c>
      <c r="L53" s="65">
        <v>4954431</v>
      </c>
      <c r="M53" s="65" t="s">
        <v>436</v>
      </c>
      <c r="N53" s="65" t="s">
        <v>437</v>
      </c>
      <c r="O53" s="65">
        <v>4094917</v>
      </c>
      <c r="P53" s="65">
        <v>4970640</v>
      </c>
      <c r="Q53" s="65">
        <v>4094919</v>
      </c>
      <c r="R53" s="65">
        <v>4094937</v>
      </c>
      <c r="S53" s="65">
        <v>4094921</v>
      </c>
      <c r="T53" s="65">
        <v>4094922</v>
      </c>
      <c r="U53" s="65">
        <v>4094923</v>
      </c>
      <c r="V53" s="65">
        <v>4094924</v>
      </c>
      <c r="W53" s="65">
        <v>4094900</v>
      </c>
      <c r="X53" s="65">
        <v>4094916</v>
      </c>
      <c r="Y53" s="65">
        <v>3607995</v>
      </c>
      <c r="Z53" s="65">
        <v>4009379</v>
      </c>
      <c r="AA53" s="65">
        <v>4094945</v>
      </c>
      <c r="AB53" s="65"/>
      <c r="AC53" s="66" t="s">
        <v>423</v>
      </c>
      <c r="AD53" s="67"/>
      <c r="AE53" s="63"/>
      <c r="AF53" s="63"/>
      <c r="AG53" s="63"/>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row>
    <row r="54" spans="1:59" ht="15">
      <c r="A54" s="60" t="s">
        <v>527</v>
      </c>
      <c r="B54" s="61" t="s">
        <v>349</v>
      </c>
      <c r="C54" s="61" t="s">
        <v>510</v>
      </c>
      <c r="D54" s="61" t="s">
        <v>493</v>
      </c>
      <c r="E54" s="61" t="s">
        <v>494</v>
      </c>
      <c r="F54" s="60" t="s">
        <v>504</v>
      </c>
      <c r="G54" s="60" t="s">
        <v>505</v>
      </c>
      <c r="H54" s="62" t="s">
        <v>506</v>
      </c>
      <c r="I54" s="61" t="s">
        <v>498</v>
      </c>
      <c r="J54" s="61">
        <v>4970673</v>
      </c>
      <c r="K54" s="65" t="s">
        <v>499</v>
      </c>
      <c r="L54" s="65">
        <v>4954431</v>
      </c>
      <c r="M54" s="65" t="s">
        <v>438</v>
      </c>
      <c r="N54" s="65" t="s">
        <v>439</v>
      </c>
      <c r="O54" s="65">
        <v>4094917</v>
      </c>
      <c r="P54" s="65">
        <v>4970640</v>
      </c>
      <c r="Q54" s="65">
        <v>4094919</v>
      </c>
      <c r="R54" s="65">
        <v>4094938</v>
      </c>
      <c r="S54" s="65">
        <v>4094921</v>
      </c>
      <c r="T54" s="65">
        <v>4094922</v>
      </c>
      <c r="U54" s="65">
        <v>4094923</v>
      </c>
      <c r="V54" s="65">
        <v>4094924</v>
      </c>
      <c r="W54" s="65">
        <v>4094900</v>
      </c>
      <c r="X54" s="65">
        <v>4094916</v>
      </c>
      <c r="Y54" s="65">
        <v>3607995</v>
      </c>
      <c r="Z54" s="65">
        <v>4009379</v>
      </c>
      <c r="AA54" s="65">
        <v>4094945</v>
      </c>
      <c r="AB54" s="65"/>
      <c r="AC54" s="66" t="s">
        <v>428</v>
      </c>
      <c r="AD54" s="67"/>
      <c r="AE54" s="63"/>
      <c r="AF54" s="63"/>
      <c r="AG54" s="63"/>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row>
    <row r="55" spans="1:59" ht="15">
      <c r="A55" s="60" t="s">
        <v>527</v>
      </c>
      <c r="B55" s="61" t="s">
        <v>349</v>
      </c>
      <c r="C55" s="61" t="s">
        <v>510</v>
      </c>
      <c r="D55" s="61" t="s">
        <v>493</v>
      </c>
      <c r="E55" s="61" t="s">
        <v>494</v>
      </c>
      <c r="F55" s="60" t="s">
        <v>504</v>
      </c>
      <c r="G55" s="60" t="s">
        <v>505</v>
      </c>
      <c r="H55" s="62" t="s">
        <v>508</v>
      </c>
      <c r="I55" s="61" t="s">
        <v>498</v>
      </c>
      <c r="J55" s="61">
        <v>4970674</v>
      </c>
      <c r="K55" s="65" t="s">
        <v>499</v>
      </c>
      <c r="L55" s="65">
        <v>4954431</v>
      </c>
      <c r="M55" s="65" t="s">
        <v>440</v>
      </c>
      <c r="N55" s="65" t="s">
        <v>441</v>
      </c>
      <c r="O55" s="65">
        <v>4094917</v>
      </c>
      <c r="P55" s="65">
        <v>4970640</v>
      </c>
      <c r="Q55" s="65">
        <v>4094919</v>
      </c>
      <c r="R55" s="65">
        <v>4094939</v>
      </c>
      <c r="S55" s="65">
        <v>4094921</v>
      </c>
      <c r="T55" s="65">
        <v>4094922</v>
      </c>
      <c r="U55" s="65">
        <v>4094923</v>
      </c>
      <c r="V55" s="65">
        <v>4094924</v>
      </c>
      <c r="W55" s="65">
        <v>4094900</v>
      </c>
      <c r="X55" s="65">
        <v>4094916</v>
      </c>
      <c r="Y55" s="65">
        <v>3607995</v>
      </c>
      <c r="Z55" s="65">
        <v>4009379</v>
      </c>
      <c r="AA55" s="65">
        <v>4094945</v>
      </c>
      <c r="AB55" s="65"/>
      <c r="AC55" s="66" t="s">
        <v>433</v>
      </c>
      <c r="AD55" s="67"/>
      <c r="AE55" s="63"/>
      <c r="AF55" s="63"/>
      <c r="AG55" s="63"/>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row>
    <row r="56" spans="1:59" ht="15">
      <c r="A56" s="60" t="s">
        <v>527</v>
      </c>
      <c r="B56" s="61" t="s">
        <v>509</v>
      </c>
      <c r="C56" s="61" t="s">
        <v>510</v>
      </c>
      <c r="D56" s="61" t="s">
        <v>493</v>
      </c>
      <c r="E56" s="61" t="s">
        <v>494</v>
      </c>
      <c r="F56" s="60" t="s">
        <v>495</v>
      </c>
      <c r="G56" s="60" t="s">
        <v>496</v>
      </c>
      <c r="H56" s="62" t="s">
        <v>497</v>
      </c>
      <c r="I56" s="61" t="s">
        <v>498</v>
      </c>
      <c r="J56" s="61">
        <v>2873634</v>
      </c>
      <c r="K56" s="65" t="s">
        <v>499</v>
      </c>
      <c r="L56" s="65">
        <v>4954431</v>
      </c>
      <c r="M56" s="65" t="s">
        <v>459</v>
      </c>
      <c r="N56" s="65" t="s">
        <v>460</v>
      </c>
      <c r="O56" s="65">
        <v>4094917</v>
      </c>
      <c r="P56" s="65">
        <v>4970640</v>
      </c>
      <c r="Q56" s="65">
        <v>4094919</v>
      </c>
      <c r="R56" s="65">
        <v>4094920</v>
      </c>
      <c r="S56" s="65">
        <v>4094921</v>
      </c>
      <c r="T56" s="65">
        <v>4094922</v>
      </c>
      <c r="U56" s="65">
        <v>4094923</v>
      </c>
      <c r="V56" s="65">
        <v>4094924</v>
      </c>
      <c r="W56" s="65">
        <v>4094900</v>
      </c>
      <c r="X56" s="65">
        <v>4094916</v>
      </c>
      <c r="Y56" s="65">
        <v>3607995</v>
      </c>
      <c r="Z56" s="65">
        <v>4009379</v>
      </c>
      <c r="AA56" s="65">
        <v>4094945</v>
      </c>
      <c r="AB56" s="65"/>
      <c r="AC56" s="66" t="s">
        <v>452</v>
      </c>
      <c r="AD56" s="67"/>
      <c r="AE56" s="63"/>
      <c r="AF56" s="63"/>
      <c r="AG56" s="63"/>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row>
    <row r="57" spans="1:59" ht="15">
      <c r="A57" s="60" t="s">
        <v>527</v>
      </c>
      <c r="B57" s="61" t="s">
        <v>509</v>
      </c>
      <c r="C57" s="61" t="s">
        <v>510</v>
      </c>
      <c r="D57" s="61" t="s">
        <v>493</v>
      </c>
      <c r="E57" s="61" t="s">
        <v>494</v>
      </c>
      <c r="F57" s="60" t="s">
        <v>495</v>
      </c>
      <c r="G57" s="60" t="s">
        <v>496</v>
      </c>
      <c r="H57" s="62" t="s">
        <v>503</v>
      </c>
      <c r="I57" s="61" t="s">
        <v>498</v>
      </c>
      <c r="J57" s="61">
        <v>2873635</v>
      </c>
      <c r="K57" s="65" t="s">
        <v>499</v>
      </c>
      <c r="L57" s="65">
        <v>4954431</v>
      </c>
      <c r="M57" s="65" t="s">
        <v>461</v>
      </c>
      <c r="N57" s="65" t="s">
        <v>462</v>
      </c>
      <c r="O57" s="65">
        <v>4094917</v>
      </c>
      <c r="P57" s="65">
        <v>4970640</v>
      </c>
      <c r="Q57" s="65">
        <v>4094919</v>
      </c>
      <c r="R57" s="65">
        <v>4094937</v>
      </c>
      <c r="S57" s="65">
        <v>4094921</v>
      </c>
      <c r="T57" s="65">
        <v>4094922</v>
      </c>
      <c r="U57" s="65">
        <v>4094923</v>
      </c>
      <c r="V57" s="65">
        <v>4094924</v>
      </c>
      <c r="W57" s="65">
        <v>4094900</v>
      </c>
      <c r="X57" s="65">
        <v>4094916</v>
      </c>
      <c r="Y57" s="65">
        <v>3607995</v>
      </c>
      <c r="Z57" s="65">
        <v>4009379</v>
      </c>
      <c r="AA57" s="65">
        <v>4094945</v>
      </c>
      <c r="AB57" s="65"/>
      <c r="AC57" s="66" t="s">
        <v>454</v>
      </c>
      <c r="AD57" s="67"/>
      <c r="AE57" s="63"/>
      <c r="AF57" s="63"/>
      <c r="AG57" s="63"/>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row>
    <row r="58" spans="1:59" ht="15">
      <c r="A58" s="60" t="s">
        <v>527</v>
      </c>
      <c r="B58" s="61" t="s">
        <v>509</v>
      </c>
      <c r="C58" s="61" t="s">
        <v>510</v>
      </c>
      <c r="D58" s="61" t="s">
        <v>493</v>
      </c>
      <c r="E58" s="61" t="s">
        <v>494</v>
      </c>
      <c r="F58" s="60" t="s">
        <v>504</v>
      </c>
      <c r="G58" s="60" t="s">
        <v>505</v>
      </c>
      <c r="H58" s="62" t="s">
        <v>506</v>
      </c>
      <c r="I58" s="61" t="s">
        <v>498</v>
      </c>
      <c r="J58" s="61">
        <v>2873636</v>
      </c>
      <c r="K58" s="65" t="s">
        <v>499</v>
      </c>
      <c r="L58" s="65">
        <v>4954431</v>
      </c>
      <c r="M58" s="65" t="s">
        <v>463</v>
      </c>
      <c r="N58" s="65" t="s">
        <v>464</v>
      </c>
      <c r="O58" s="65">
        <v>4094917</v>
      </c>
      <c r="P58" s="65">
        <v>4970640</v>
      </c>
      <c r="Q58" s="65">
        <v>4094919</v>
      </c>
      <c r="R58" s="65">
        <v>4094938</v>
      </c>
      <c r="S58" s="65">
        <v>4094921</v>
      </c>
      <c r="T58" s="65">
        <v>4094922</v>
      </c>
      <c r="U58" s="65">
        <v>4094923</v>
      </c>
      <c r="V58" s="65">
        <v>4094924</v>
      </c>
      <c r="W58" s="65">
        <v>4094900</v>
      </c>
      <c r="X58" s="65">
        <v>4094916</v>
      </c>
      <c r="Y58" s="65">
        <v>3607995</v>
      </c>
      <c r="Z58" s="65">
        <v>4009379</v>
      </c>
      <c r="AA58" s="65">
        <v>4094945</v>
      </c>
      <c r="AB58" s="65"/>
      <c r="AC58" s="66" t="s">
        <v>456</v>
      </c>
      <c r="AD58" s="67"/>
      <c r="AE58" s="63"/>
      <c r="AF58" s="63"/>
      <c r="AG58" s="63"/>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row>
    <row r="59" spans="1:59" ht="15">
      <c r="A59" s="60" t="s">
        <v>527</v>
      </c>
      <c r="B59" s="61" t="s">
        <v>509</v>
      </c>
      <c r="C59" s="61" t="s">
        <v>510</v>
      </c>
      <c r="D59" s="61" t="s">
        <v>493</v>
      </c>
      <c r="E59" s="61" t="s">
        <v>494</v>
      </c>
      <c r="F59" s="60" t="s">
        <v>504</v>
      </c>
      <c r="G59" s="60" t="s">
        <v>505</v>
      </c>
      <c r="H59" s="62" t="s">
        <v>508</v>
      </c>
      <c r="I59" s="61" t="s">
        <v>498</v>
      </c>
      <c r="J59" s="61">
        <v>2873637</v>
      </c>
      <c r="K59" s="65" t="s">
        <v>499</v>
      </c>
      <c r="L59" s="65">
        <v>4954431</v>
      </c>
      <c r="M59" s="65" t="s">
        <v>465</v>
      </c>
      <c r="N59" s="65" t="s">
        <v>466</v>
      </c>
      <c r="O59" s="65">
        <v>4094917</v>
      </c>
      <c r="P59" s="65">
        <v>4970640</v>
      </c>
      <c r="Q59" s="65">
        <v>4094919</v>
      </c>
      <c r="R59" s="65">
        <v>4094939</v>
      </c>
      <c r="S59" s="65">
        <v>4094921</v>
      </c>
      <c r="T59" s="65">
        <v>4094922</v>
      </c>
      <c r="U59" s="65">
        <v>4094923</v>
      </c>
      <c r="V59" s="65">
        <v>4094924</v>
      </c>
      <c r="W59" s="65">
        <v>4094900</v>
      </c>
      <c r="X59" s="65">
        <v>4094916</v>
      </c>
      <c r="Y59" s="65">
        <v>3607995</v>
      </c>
      <c r="Z59" s="65">
        <v>4009379</v>
      </c>
      <c r="AA59" s="65">
        <v>4094945</v>
      </c>
      <c r="AB59" s="65"/>
      <c r="AC59" s="66" t="s">
        <v>458</v>
      </c>
      <c r="AD59" s="67"/>
      <c r="AE59" s="63"/>
      <c r="AF59" s="63"/>
      <c r="AG59" s="63"/>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row>
    <row r="60" spans="1:59" ht="15">
      <c r="A60" s="60" t="s">
        <v>527</v>
      </c>
      <c r="B60" s="61" t="s">
        <v>509</v>
      </c>
      <c r="C60" s="61" t="s">
        <v>510</v>
      </c>
      <c r="D60" s="61" t="s">
        <v>493</v>
      </c>
      <c r="E60" s="61" t="s">
        <v>494</v>
      </c>
      <c r="F60" s="60" t="s">
        <v>495</v>
      </c>
      <c r="G60" s="60" t="s">
        <v>496</v>
      </c>
      <c r="H60" s="62" t="s">
        <v>497</v>
      </c>
      <c r="I60" s="61" t="s">
        <v>275</v>
      </c>
      <c r="J60" s="61" t="s">
        <v>376</v>
      </c>
      <c r="K60" s="65" t="s">
        <v>499</v>
      </c>
      <c r="L60" s="65">
        <v>4954431</v>
      </c>
      <c r="M60" s="65" t="s">
        <v>471</v>
      </c>
      <c r="N60" s="65" t="s">
        <v>467</v>
      </c>
      <c r="O60" s="65">
        <v>4094917</v>
      </c>
      <c r="P60" s="65">
        <v>4970640</v>
      </c>
      <c r="Q60" s="65">
        <v>4094919</v>
      </c>
      <c r="R60" s="65">
        <v>4094920</v>
      </c>
      <c r="S60" s="65">
        <v>4094921</v>
      </c>
      <c r="T60" s="65">
        <v>4094922</v>
      </c>
      <c r="U60" s="65">
        <v>4094923</v>
      </c>
      <c r="V60" s="65">
        <v>4094924</v>
      </c>
      <c r="W60" s="65">
        <v>4094900</v>
      </c>
      <c r="X60" s="65">
        <v>4094916</v>
      </c>
      <c r="Y60" s="65">
        <v>3607995</v>
      </c>
      <c r="Z60" s="65">
        <v>4009379</v>
      </c>
      <c r="AA60" s="65">
        <v>4094945</v>
      </c>
      <c r="AB60" s="65"/>
      <c r="AC60" s="66" t="s">
        <v>452</v>
      </c>
      <c r="AD60" s="67"/>
      <c r="AE60" s="63"/>
      <c r="AF60" s="63"/>
      <c r="AG60" s="63"/>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row>
    <row r="61" spans="1:59" ht="15">
      <c r="A61" s="60" t="s">
        <v>527</v>
      </c>
      <c r="B61" s="61" t="s">
        <v>509</v>
      </c>
      <c r="C61" s="61" t="s">
        <v>510</v>
      </c>
      <c r="D61" s="61" t="s">
        <v>493</v>
      </c>
      <c r="E61" s="61" t="s">
        <v>494</v>
      </c>
      <c r="F61" s="60" t="s">
        <v>495</v>
      </c>
      <c r="G61" s="60" t="s">
        <v>496</v>
      </c>
      <c r="H61" s="62" t="s">
        <v>503</v>
      </c>
      <c r="I61" s="61" t="s">
        <v>275</v>
      </c>
      <c r="J61" s="61" t="s">
        <v>376</v>
      </c>
      <c r="K61" s="65" t="s">
        <v>499</v>
      </c>
      <c r="L61" s="65">
        <v>4954431</v>
      </c>
      <c r="M61" s="65" t="s">
        <v>472</v>
      </c>
      <c r="N61" s="65" t="s">
        <v>468</v>
      </c>
      <c r="O61" s="65">
        <v>4094917</v>
      </c>
      <c r="P61" s="65">
        <v>4970640</v>
      </c>
      <c r="Q61" s="65">
        <v>4094919</v>
      </c>
      <c r="R61" s="65">
        <v>4094937</v>
      </c>
      <c r="S61" s="65">
        <v>4094921</v>
      </c>
      <c r="T61" s="65">
        <v>4094922</v>
      </c>
      <c r="U61" s="65">
        <v>4094923</v>
      </c>
      <c r="V61" s="65">
        <v>4094924</v>
      </c>
      <c r="W61" s="65">
        <v>4094900</v>
      </c>
      <c r="X61" s="65">
        <v>4094916</v>
      </c>
      <c r="Y61" s="65">
        <v>3607995</v>
      </c>
      <c r="Z61" s="65">
        <v>4009379</v>
      </c>
      <c r="AA61" s="65">
        <v>4094945</v>
      </c>
      <c r="AB61" s="65"/>
      <c r="AC61" s="66" t="s">
        <v>454</v>
      </c>
      <c r="AD61" s="67"/>
      <c r="AE61" s="63"/>
      <c r="AF61" s="63"/>
      <c r="AG61" s="63"/>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row>
    <row r="62" spans="1:59" ht="15">
      <c r="A62" s="60" t="s">
        <v>527</v>
      </c>
      <c r="B62" s="61" t="s">
        <v>509</v>
      </c>
      <c r="C62" s="61" t="s">
        <v>510</v>
      </c>
      <c r="D62" s="61" t="s">
        <v>493</v>
      </c>
      <c r="E62" s="61" t="s">
        <v>494</v>
      </c>
      <c r="F62" s="60" t="s">
        <v>504</v>
      </c>
      <c r="G62" s="60" t="s">
        <v>505</v>
      </c>
      <c r="H62" s="62" t="s">
        <v>506</v>
      </c>
      <c r="I62" s="61" t="s">
        <v>275</v>
      </c>
      <c r="J62" s="61" t="s">
        <v>376</v>
      </c>
      <c r="K62" s="65" t="s">
        <v>499</v>
      </c>
      <c r="L62" s="65">
        <v>4954431</v>
      </c>
      <c r="M62" s="65" t="s">
        <v>473</v>
      </c>
      <c r="N62" s="65" t="s">
        <v>469</v>
      </c>
      <c r="O62" s="65">
        <v>4094917</v>
      </c>
      <c r="P62" s="65">
        <v>4970640</v>
      </c>
      <c r="Q62" s="65">
        <v>4094919</v>
      </c>
      <c r="R62" s="65">
        <v>4094938</v>
      </c>
      <c r="S62" s="65">
        <v>4094921</v>
      </c>
      <c r="T62" s="65">
        <v>4094922</v>
      </c>
      <c r="U62" s="65">
        <v>4094923</v>
      </c>
      <c r="V62" s="65">
        <v>4094924</v>
      </c>
      <c r="W62" s="65">
        <v>4094900</v>
      </c>
      <c r="X62" s="65">
        <v>4094916</v>
      </c>
      <c r="Y62" s="65">
        <v>3607995</v>
      </c>
      <c r="Z62" s="65">
        <v>4009379</v>
      </c>
      <c r="AA62" s="65">
        <v>4094945</v>
      </c>
      <c r="AB62" s="65"/>
      <c r="AC62" s="66" t="s">
        <v>456</v>
      </c>
      <c r="AD62" s="67"/>
      <c r="AE62" s="63"/>
      <c r="AF62" s="63"/>
      <c r="AG62" s="63"/>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row>
    <row r="63" spans="1:59" ht="15">
      <c r="A63" s="60" t="s">
        <v>527</v>
      </c>
      <c r="B63" s="61" t="s">
        <v>509</v>
      </c>
      <c r="C63" s="61" t="s">
        <v>510</v>
      </c>
      <c r="D63" s="61" t="s">
        <v>493</v>
      </c>
      <c r="E63" s="61" t="s">
        <v>494</v>
      </c>
      <c r="F63" s="60" t="s">
        <v>504</v>
      </c>
      <c r="G63" s="60" t="s">
        <v>505</v>
      </c>
      <c r="H63" s="62" t="s">
        <v>508</v>
      </c>
      <c r="I63" s="61" t="s">
        <v>275</v>
      </c>
      <c r="J63" s="61" t="s">
        <v>376</v>
      </c>
      <c r="K63" s="65" t="s">
        <v>499</v>
      </c>
      <c r="L63" s="65">
        <v>4954431</v>
      </c>
      <c r="M63" s="65" t="s">
        <v>474</v>
      </c>
      <c r="N63" s="65" t="s">
        <v>470</v>
      </c>
      <c r="O63" s="65">
        <v>4094917</v>
      </c>
      <c r="P63" s="65">
        <v>4970640</v>
      </c>
      <c r="Q63" s="65">
        <v>4094919</v>
      </c>
      <c r="R63" s="65">
        <v>4094939</v>
      </c>
      <c r="S63" s="65">
        <v>4094921</v>
      </c>
      <c r="T63" s="65">
        <v>4094922</v>
      </c>
      <c r="U63" s="65">
        <v>4094923</v>
      </c>
      <c r="V63" s="65">
        <v>4094924</v>
      </c>
      <c r="W63" s="65">
        <v>4094900</v>
      </c>
      <c r="X63" s="65">
        <v>4094916</v>
      </c>
      <c r="Y63" s="65">
        <v>3607995</v>
      </c>
      <c r="Z63" s="65">
        <v>4009379</v>
      </c>
      <c r="AA63" s="65">
        <v>4094945</v>
      </c>
      <c r="AB63" s="65"/>
      <c r="AC63" s="66" t="s">
        <v>458</v>
      </c>
      <c r="AD63" s="67"/>
      <c r="AE63" s="63"/>
      <c r="AF63" s="63"/>
      <c r="AG63" s="63"/>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row>
    <row r="64" spans="1:59">
      <c r="K64" s="52"/>
      <c r="L64" s="52"/>
      <c r="M64" s="52"/>
      <c r="N64" s="52"/>
      <c r="O64" s="52"/>
      <c r="P64" s="52"/>
      <c r="Q64" s="52"/>
      <c r="R64" s="52"/>
      <c r="S64" s="52"/>
      <c r="T64" s="52"/>
      <c r="U64" s="52"/>
      <c r="V64" s="52"/>
      <c r="W64" s="52"/>
      <c r="X64" s="52"/>
      <c r="Y64" s="52"/>
      <c r="Z64" s="52"/>
      <c r="AA64" s="52"/>
      <c r="AB64" s="52"/>
      <c r="AC64" s="52"/>
      <c r="AD64" s="52"/>
      <c r="AE64" s="52"/>
      <c r="AF64" s="52"/>
      <c r="AG64" s="52"/>
    </row>
    <row r="65" spans="11:33">
      <c r="K65" s="52"/>
      <c r="L65" s="52"/>
      <c r="M65" s="52"/>
      <c r="N65" s="52"/>
      <c r="O65" s="52"/>
      <c r="P65" s="52"/>
      <c r="Q65" s="52"/>
      <c r="R65" s="52"/>
      <c r="S65" s="52"/>
      <c r="T65" s="52"/>
      <c r="U65" s="52"/>
      <c r="V65" s="52"/>
      <c r="W65" s="52"/>
      <c r="X65" s="52"/>
      <c r="Y65" s="52"/>
      <c r="Z65" s="52"/>
      <c r="AA65" s="52"/>
      <c r="AB65" s="52"/>
      <c r="AC65" s="52"/>
      <c r="AD65" s="52"/>
      <c r="AE65" s="52"/>
      <c r="AF65" s="52"/>
      <c r="AG65" s="52"/>
    </row>
    <row r="66" spans="11:33">
      <c r="K66" s="52"/>
      <c r="L66" s="52"/>
      <c r="M66" s="52"/>
      <c r="N66" s="52"/>
      <c r="O66" s="52"/>
      <c r="P66" s="52"/>
      <c r="Q66" s="52"/>
      <c r="R66" s="52"/>
      <c r="S66" s="52"/>
      <c r="T66" s="52"/>
      <c r="U66" s="52"/>
      <c r="V66" s="52"/>
      <c r="W66" s="52"/>
      <c r="X66" s="52"/>
      <c r="Y66" s="52"/>
      <c r="Z66" s="52"/>
      <c r="AA66" s="52"/>
      <c r="AB66" s="52"/>
      <c r="AC66" s="52"/>
      <c r="AD66" s="52"/>
      <c r="AE66" s="52"/>
      <c r="AF66" s="52"/>
      <c r="AG66" s="5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3"/>
  <dimension ref="A1:D75"/>
  <sheetViews>
    <sheetView zoomScaleNormal="100" workbookViewId="0">
      <pane ySplit="1" topLeftCell="A2" activePane="bottomLeft" state="frozen"/>
      <selection pane="bottomLeft" activeCell="B14" sqref="A14:B14"/>
    </sheetView>
  </sheetViews>
  <sheetFormatPr defaultRowHeight="12.75"/>
  <cols>
    <col min="1" max="1" width="11.85546875" style="26" bestFit="1" customWidth="1"/>
    <col min="2" max="2" width="12.7109375" style="26" bestFit="1" customWidth="1"/>
    <col min="3" max="3" width="18.28515625" style="27" bestFit="1" customWidth="1"/>
    <col min="4" max="4" width="24.42578125" style="25" bestFit="1" customWidth="1"/>
  </cols>
  <sheetData>
    <row r="1" spans="1:4">
      <c r="A1" s="32" t="s">
        <v>307</v>
      </c>
      <c r="B1" s="32" t="s">
        <v>308</v>
      </c>
      <c r="C1" s="33" t="s">
        <v>13</v>
      </c>
      <c r="D1" s="34" t="s">
        <v>328</v>
      </c>
    </row>
    <row r="2" spans="1:4">
      <c r="A2" s="29" t="s">
        <v>1931</v>
      </c>
      <c r="B2" s="29" t="s">
        <v>1986</v>
      </c>
      <c r="C2" s="28" t="s">
        <v>309</v>
      </c>
      <c r="D2" s="30" t="s">
        <v>310</v>
      </c>
    </row>
    <row r="3" spans="1:4">
      <c r="A3" s="29" t="s">
        <v>1932</v>
      </c>
      <c r="B3" s="29" t="s">
        <v>1987</v>
      </c>
      <c r="C3" s="28" t="s">
        <v>309</v>
      </c>
      <c r="D3" s="30" t="s">
        <v>310</v>
      </c>
    </row>
    <row r="4" spans="1:4">
      <c r="A4" s="29" t="s">
        <v>1933</v>
      </c>
      <c r="B4" s="29" t="s">
        <v>1988</v>
      </c>
      <c r="C4" s="28" t="s">
        <v>309</v>
      </c>
      <c r="D4" s="30" t="s">
        <v>310</v>
      </c>
    </row>
    <row r="5" spans="1:4">
      <c r="A5" s="29" t="s">
        <v>1934</v>
      </c>
      <c r="B5" s="29" t="s">
        <v>1989</v>
      </c>
      <c r="C5" s="28" t="s">
        <v>309</v>
      </c>
      <c r="D5" s="30" t="s">
        <v>310</v>
      </c>
    </row>
    <row r="6" spans="1:4">
      <c r="A6" s="29" t="s">
        <v>1935</v>
      </c>
      <c r="B6" s="29" t="s">
        <v>1990</v>
      </c>
      <c r="C6" s="28" t="s">
        <v>309</v>
      </c>
      <c r="D6" s="30" t="s">
        <v>310</v>
      </c>
    </row>
    <row r="7" spans="1:4">
      <c r="A7" s="29" t="s">
        <v>1936</v>
      </c>
      <c r="B7" s="29" t="s">
        <v>1991</v>
      </c>
      <c r="C7" s="28" t="s">
        <v>309</v>
      </c>
      <c r="D7" s="30" t="s">
        <v>310</v>
      </c>
    </row>
    <row r="8" spans="1:4">
      <c r="A8" s="29" t="s">
        <v>1937</v>
      </c>
      <c r="B8" s="29" t="s">
        <v>1992</v>
      </c>
      <c r="C8" s="28" t="s">
        <v>309</v>
      </c>
      <c r="D8" s="30" t="s">
        <v>310</v>
      </c>
    </row>
    <row r="9" spans="1:4">
      <c r="A9" s="29" t="s">
        <v>1938</v>
      </c>
      <c r="B9" s="29" t="s">
        <v>1993</v>
      </c>
      <c r="C9" s="28" t="s">
        <v>309</v>
      </c>
      <c r="D9" s="30" t="s">
        <v>310</v>
      </c>
    </row>
    <row r="10" spans="1:4">
      <c r="A10" s="29" t="s">
        <v>1939</v>
      </c>
      <c r="B10" s="29" t="s">
        <v>1994</v>
      </c>
      <c r="C10" s="28" t="s">
        <v>309</v>
      </c>
      <c r="D10" s="30" t="s">
        <v>310</v>
      </c>
    </row>
    <row r="11" spans="1:4">
      <c r="A11" s="29" t="s">
        <v>1940</v>
      </c>
      <c r="B11" s="29" t="s">
        <v>1995</v>
      </c>
      <c r="C11" s="28" t="s">
        <v>309</v>
      </c>
      <c r="D11" s="30" t="s">
        <v>310</v>
      </c>
    </row>
    <row r="12" spans="1:4">
      <c r="A12" s="29" t="s">
        <v>1835</v>
      </c>
      <c r="B12" s="29" t="s">
        <v>1996</v>
      </c>
      <c r="C12" s="28" t="s">
        <v>309</v>
      </c>
      <c r="D12" s="30" t="s">
        <v>311</v>
      </c>
    </row>
    <row r="13" spans="1:4">
      <c r="A13" s="29" t="s">
        <v>1836</v>
      </c>
      <c r="B13" s="29" t="s">
        <v>1997</v>
      </c>
      <c r="C13" s="28" t="s">
        <v>309</v>
      </c>
      <c r="D13" s="30" t="s">
        <v>311</v>
      </c>
    </row>
    <row r="14" spans="1:4">
      <c r="A14" s="29" t="s">
        <v>1839</v>
      </c>
      <c r="B14" s="29" t="s">
        <v>1998</v>
      </c>
      <c r="C14" s="28" t="s">
        <v>309</v>
      </c>
      <c r="D14" s="30" t="s">
        <v>311</v>
      </c>
    </row>
    <row r="15" spans="1:4">
      <c r="A15" s="29" t="s">
        <v>1840</v>
      </c>
      <c r="B15" s="29" t="s">
        <v>1999</v>
      </c>
      <c r="C15" s="28" t="s">
        <v>309</v>
      </c>
      <c r="D15" s="30" t="s">
        <v>311</v>
      </c>
    </row>
    <row r="16" spans="1:4">
      <c r="A16" s="29" t="s">
        <v>1841</v>
      </c>
      <c r="B16" s="29" t="s">
        <v>312</v>
      </c>
      <c r="C16" s="28" t="s">
        <v>324</v>
      </c>
      <c r="D16" s="30" t="s">
        <v>310</v>
      </c>
    </row>
    <row r="17" spans="1:4">
      <c r="A17" s="29" t="s">
        <v>1842</v>
      </c>
      <c r="B17" s="29" t="s">
        <v>313</v>
      </c>
      <c r="C17" s="28" t="s">
        <v>324</v>
      </c>
      <c r="D17" s="30" t="s">
        <v>310</v>
      </c>
    </row>
    <row r="18" spans="1:4">
      <c r="A18" s="29" t="s">
        <v>1843</v>
      </c>
      <c r="B18" s="29" t="s">
        <v>314</v>
      </c>
      <c r="C18" s="28" t="s">
        <v>324</v>
      </c>
      <c r="D18" s="30" t="s">
        <v>310</v>
      </c>
    </row>
    <row r="19" spans="1:4">
      <c r="A19" s="29" t="s">
        <v>1844</v>
      </c>
      <c r="B19" s="29" t="s">
        <v>315</v>
      </c>
      <c r="C19" s="28" t="s">
        <v>324</v>
      </c>
      <c r="D19" s="30" t="s">
        <v>310</v>
      </c>
    </row>
    <row r="20" spans="1:4">
      <c r="A20" s="29" t="s">
        <v>1925</v>
      </c>
      <c r="B20" s="29" t="s">
        <v>316</v>
      </c>
      <c r="C20" s="28" t="s">
        <v>324</v>
      </c>
      <c r="D20" s="30" t="s">
        <v>310</v>
      </c>
    </row>
    <row r="21" spans="1:4">
      <c r="A21" s="29" t="s">
        <v>1926</v>
      </c>
      <c r="B21" s="29" t="s">
        <v>317</v>
      </c>
      <c r="C21" s="28" t="s">
        <v>324</v>
      </c>
      <c r="D21" s="30" t="s">
        <v>310</v>
      </c>
    </row>
    <row r="22" spans="1:4">
      <c r="A22" s="29" t="s">
        <v>1927</v>
      </c>
      <c r="B22" s="29" t="s">
        <v>318</v>
      </c>
      <c r="C22" s="28" t="s">
        <v>324</v>
      </c>
      <c r="D22" s="30" t="s">
        <v>310</v>
      </c>
    </row>
    <row r="23" spans="1:4">
      <c r="A23" s="29" t="s">
        <v>1928</v>
      </c>
      <c r="B23" s="29" t="s">
        <v>319</v>
      </c>
      <c r="C23" s="28" t="s">
        <v>324</v>
      </c>
      <c r="D23" s="30" t="s">
        <v>310</v>
      </c>
    </row>
    <row r="24" spans="1:4">
      <c r="A24" s="29" t="s">
        <v>1831</v>
      </c>
      <c r="B24" s="29" t="s">
        <v>320</v>
      </c>
      <c r="C24" s="28" t="s">
        <v>324</v>
      </c>
      <c r="D24" s="30" t="s">
        <v>310</v>
      </c>
    </row>
    <row r="25" spans="1:4">
      <c r="A25" s="29" t="s">
        <v>1832</v>
      </c>
      <c r="B25" s="29" t="s">
        <v>321</v>
      </c>
      <c r="C25" s="28" t="s">
        <v>324</v>
      </c>
      <c r="D25" s="30" t="s">
        <v>310</v>
      </c>
    </row>
    <row r="26" spans="1:4">
      <c r="A26" s="29" t="s">
        <v>1829</v>
      </c>
      <c r="B26" s="29" t="s">
        <v>322</v>
      </c>
      <c r="C26" s="28" t="s">
        <v>324</v>
      </c>
      <c r="D26" s="30" t="s">
        <v>310</v>
      </c>
    </row>
    <row r="27" spans="1:4">
      <c r="A27" s="29" t="s">
        <v>1830</v>
      </c>
      <c r="B27" s="29" t="s">
        <v>323</v>
      </c>
      <c r="C27" s="28" t="s">
        <v>324</v>
      </c>
      <c r="D27" s="30" t="s">
        <v>310</v>
      </c>
    </row>
    <row r="28" spans="1:4">
      <c r="A28" s="31" t="s">
        <v>1891</v>
      </c>
      <c r="B28" s="29" t="s">
        <v>1942</v>
      </c>
      <c r="C28" s="28" t="s">
        <v>268</v>
      </c>
      <c r="D28" s="30" t="s">
        <v>310</v>
      </c>
    </row>
    <row r="29" spans="1:4">
      <c r="A29" s="31" t="s">
        <v>1892</v>
      </c>
      <c r="B29" s="29" t="s">
        <v>1943</v>
      </c>
      <c r="C29" s="28" t="s">
        <v>268</v>
      </c>
      <c r="D29" s="30" t="s">
        <v>310</v>
      </c>
    </row>
    <row r="30" spans="1:4">
      <c r="A30" s="31" t="s">
        <v>1893</v>
      </c>
      <c r="B30" s="29" t="s">
        <v>1944</v>
      </c>
      <c r="C30" s="28" t="s">
        <v>268</v>
      </c>
      <c r="D30" s="30" t="s">
        <v>310</v>
      </c>
    </row>
    <row r="31" spans="1:4">
      <c r="A31" s="31" t="s">
        <v>1894</v>
      </c>
      <c r="B31" s="29" t="s">
        <v>1945</v>
      </c>
      <c r="C31" s="28" t="s">
        <v>268</v>
      </c>
      <c r="D31" s="30" t="s">
        <v>310</v>
      </c>
    </row>
    <row r="32" spans="1:4">
      <c r="A32" s="31" t="s">
        <v>1895</v>
      </c>
      <c r="B32" s="29" t="s">
        <v>1946</v>
      </c>
      <c r="C32" s="28" t="s">
        <v>268</v>
      </c>
      <c r="D32" s="30" t="s">
        <v>310</v>
      </c>
    </row>
    <row r="33" spans="1:4">
      <c r="A33" s="31" t="s">
        <v>1896</v>
      </c>
      <c r="B33" s="29" t="s">
        <v>1947</v>
      </c>
      <c r="C33" s="28" t="s">
        <v>268</v>
      </c>
      <c r="D33" s="30" t="s">
        <v>310</v>
      </c>
    </row>
    <row r="34" spans="1:4">
      <c r="A34" s="31" t="s">
        <v>1897</v>
      </c>
      <c r="B34" s="29" t="s">
        <v>1948</v>
      </c>
      <c r="C34" s="28" t="s">
        <v>268</v>
      </c>
      <c r="D34" s="30" t="s">
        <v>310</v>
      </c>
    </row>
    <row r="35" spans="1:4">
      <c r="A35" s="31" t="s">
        <v>1898</v>
      </c>
      <c r="B35" s="29" t="s">
        <v>1949</v>
      </c>
      <c r="C35" s="28" t="s">
        <v>268</v>
      </c>
      <c r="D35" s="30" t="s">
        <v>310</v>
      </c>
    </row>
    <row r="36" spans="1:4">
      <c r="A36" s="31" t="s">
        <v>1899</v>
      </c>
      <c r="B36" s="29" t="s">
        <v>1950</v>
      </c>
      <c r="C36" s="28" t="s">
        <v>268</v>
      </c>
      <c r="D36" s="30" t="s">
        <v>310</v>
      </c>
    </row>
    <row r="37" spans="1:4">
      <c r="A37" s="31" t="s">
        <v>1900</v>
      </c>
      <c r="B37" s="29" t="s">
        <v>1951</v>
      </c>
      <c r="C37" s="28" t="s">
        <v>268</v>
      </c>
      <c r="D37" s="30" t="s">
        <v>310</v>
      </c>
    </row>
    <row r="38" spans="1:4">
      <c r="A38" s="31" t="s">
        <v>1901</v>
      </c>
      <c r="B38" s="29" t="s">
        <v>1952</v>
      </c>
      <c r="C38" s="28" t="s">
        <v>268</v>
      </c>
      <c r="D38" s="30" t="s">
        <v>310</v>
      </c>
    </row>
    <row r="39" spans="1:4">
      <c r="A39" s="31" t="s">
        <v>1902</v>
      </c>
      <c r="B39" s="29" t="s">
        <v>1953</v>
      </c>
      <c r="C39" s="28" t="s">
        <v>268</v>
      </c>
      <c r="D39" s="30" t="s">
        <v>310</v>
      </c>
    </row>
    <row r="40" spans="1:4">
      <c r="A40" s="31" t="s">
        <v>1903</v>
      </c>
      <c r="B40" s="29" t="s">
        <v>1954</v>
      </c>
      <c r="C40" s="28" t="s">
        <v>268</v>
      </c>
      <c r="D40" s="30" t="s">
        <v>310</v>
      </c>
    </row>
    <row r="41" spans="1:4">
      <c r="A41" s="31" t="s">
        <v>1904</v>
      </c>
      <c r="B41" s="29" t="s">
        <v>1955</v>
      </c>
      <c r="C41" s="28" t="s">
        <v>268</v>
      </c>
      <c r="D41" s="30" t="s">
        <v>310</v>
      </c>
    </row>
    <row r="42" spans="1:4">
      <c r="A42" s="31" t="s">
        <v>1905</v>
      </c>
      <c r="B42" s="29" t="s">
        <v>1956</v>
      </c>
      <c r="C42" s="28" t="s">
        <v>268</v>
      </c>
      <c r="D42" s="30" t="s">
        <v>310</v>
      </c>
    </row>
    <row r="43" spans="1:4">
      <c r="A43" s="31" t="s">
        <v>1906</v>
      </c>
      <c r="B43" s="29" t="s">
        <v>1957</v>
      </c>
      <c r="C43" s="28" t="s">
        <v>268</v>
      </c>
      <c r="D43" s="30" t="s">
        <v>310</v>
      </c>
    </row>
    <row r="44" spans="1:4">
      <c r="A44" s="31" t="s">
        <v>1907</v>
      </c>
      <c r="B44" s="29" t="s">
        <v>1958</v>
      </c>
      <c r="C44" s="28" t="s">
        <v>268</v>
      </c>
      <c r="D44" s="30" t="s">
        <v>310</v>
      </c>
    </row>
    <row r="45" spans="1:4">
      <c r="A45" s="31" t="s">
        <v>1908</v>
      </c>
      <c r="B45" s="29" t="s">
        <v>1959</v>
      </c>
      <c r="C45" s="28" t="s">
        <v>268</v>
      </c>
      <c r="D45" s="30" t="s">
        <v>310</v>
      </c>
    </row>
    <row r="46" spans="1:4">
      <c r="A46" s="31" t="s">
        <v>1909</v>
      </c>
      <c r="B46" s="29" t="s">
        <v>1960</v>
      </c>
      <c r="C46" s="28" t="s">
        <v>268</v>
      </c>
      <c r="D46" s="30" t="s">
        <v>310</v>
      </c>
    </row>
    <row r="47" spans="1:4">
      <c r="A47" s="31" t="s">
        <v>1910</v>
      </c>
      <c r="B47" s="29" t="s">
        <v>1961</v>
      </c>
      <c r="C47" s="28" t="s">
        <v>268</v>
      </c>
      <c r="D47" s="30" t="s">
        <v>310</v>
      </c>
    </row>
    <row r="48" spans="1:4">
      <c r="A48" s="31" t="s">
        <v>1911</v>
      </c>
      <c r="B48" s="29" t="s">
        <v>1962</v>
      </c>
      <c r="C48" s="28" t="s">
        <v>268</v>
      </c>
      <c r="D48" s="30" t="s">
        <v>310</v>
      </c>
    </row>
    <row r="49" spans="1:4">
      <c r="A49" s="31" t="s">
        <v>1912</v>
      </c>
      <c r="B49" s="29" t="s">
        <v>1963</v>
      </c>
      <c r="C49" s="28" t="s">
        <v>268</v>
      </c>
      <c r="D49" s="30" t="s">
        <v>310</v>
      </c>
    </row>
    <row r="50" spans="1:4">
      <c r="A50" s="31" t="s">
        <v>1913</v>
      </c>
      <c r="B50" s="29" t="s">
        <v>1964</v>
      </c>
      <c r="C50" s="28" t="s">
        <v>268</v>
      </c>
      <c r="D50" s="30" t="s">
        <v>310</v>
      </c>
    </row>
    <row r="51" spans="1:4">
      <c r="A51" s="31" t="s">
        <v>1914</v>
      </c>
      <c r="B51" s="29" t="s">
        <v>1965</v>
      </c>
      <c r="C51" s="28" t="s">
        <v>268</v>
      </c>
      <c r="D51" s="30" t="s">
        <v>310</v>
      </c>
    </row>
    <row r="52" spans="1:4">
      <c r="A52" s="31" t="s">
        <v>1915</v>
      </c>
      <c r="B52" s="29" t="s">
        <v>1966</v>
      </c>
      <c r="C52" s="28" t="s">
        <v>268</v>
      </c>
      <c r="D52" s="30" t="s">
        <v>310</v>
      </c>
    </row>
    <row r="53" spans="1:4">
      <c r="A53" s="31" t="s">
        <v>1916</v>
      </c>
      <c r="B53" s="29" t="s">
        <v>1967</v>
      </c>
      <c r="C53" s="28" t="s">
        <v>268</v>
      </c>
      <c r="D53" s="30" t="s">
        <v>310</v>
      </c>
    </row>
    <row r="54" spans="1:4">
      <c r="A54" s="31" t="s">
        <v>1917</v>
      </c>
      <c r="B54" s="29" t="s">
        <v>1968</v>
      </c>
      <c r="C54" s="28" t="s">
        <v>325</v>
      </c>
      <c r="D54" s="30" t="s">
        <v>310</v>
      </c>
    </row>
    <row r="55" spans="1:4">
      <c r="A55" s="31" t="s">
        <v>1918</v>
      </c>
      <c r="B55" s="29" t="s">
        <v>1969</v>
      </c>
      <c r="C55" s="28" t="s">
        <v>325</v>
      </c>
      <c r="D55" s="30" t="s">
        <v>310</v>
      </c>
    </row>
    <row r="56" spans="1:4">
      <c r="A56" s="31" t="s">
        <v>1919</v>
      </c>
      <c r="B56" s="29" t="s">
        <v>1970</v>
      </c>
      <c r="C56" s="28" t="s">
        <v>325</v>
      </c>
      <c r="D56" s="30" t="s">
        <v>310</v>
      </c>
    </row>
    <row r="57" spans="1:4">
      <c r="A57" s="31" t="s">
        <v>1920</v>
      </c>
      <c r="B57" s="29" t="s">
        <v>1971</v>
      </c>
      <c r="C57" s="28" t="s">
        <v>325</v>
      </c>
      <c r="D57" s="30" t="s">
        <v>310</v>
      </c>
    </row>
    <row r="58" spans="1:4">
      <c r="A58" s="31" t="s">
        <v>1921</v>
      </c>
      <c r="B58" s="29" t="s">
        <v>1972</v>
      </c>
      <c r="C58" s="28" t="s">
        <v>325</v>
      </c>
      <c r="D58" s="30" t="s">
        <v>310</v>
      </c>
    </row>
    <row r="59" spans="1:4">
      <c r="A59" s="31" t="s">
        <v>1922</v>
      </c>
      <c r="B59" s="29" t="s">
        <v>1973</v>
      </c>
      <c r="C59" s="28" t="s">
        <v>325</v>
      </c>
      <c r="D59" s="30" t="s">
        <v>310</v>
      </c>
    </row>
    <row r="60" spans="1:4">
      <c r="A60" s="31" t="s">
        <v>1923</v>
      </c>
      <c r="B60" s="29" t="s">
        <v>1974</v>
      </c>
      <c r="C60" s="28" t="s">
        <v>325</v>
      </c>
      <c r="D60" s="30" t="s">
        <v>310</v>
      </c>
    </row>
    <row r="61" spans="1:4">
      <c r="A61" s="31" t="s">
        <v>1924</v>
      </c>
      <c r="B61" s="29" t="s">
        <v>1975</v>
      </c>
      <c r="C61" s="28" t="s">
        <v>325</v>
      </c>
      <c r="D61" s="30" t="s">
        <v>310</v>
      </c>
    </row>
    <row r="62" spans="1:4">
      <c r="A62" s="29" t="s">
        <v>1860</v>
      </c>
      <c r="B62" s="29" t="s">
        <v>1976</v>
      </c>
      <c r="C62" s="28" t="s">
        <v>326</v>
      </c>
      <c r="D62" s="30" t="s">
        <v>310</v>
      </c>
    </row>
    <row r="63" spans="1:4">
      <c r="A63" s="29" t="s">
        <v>1861</v>
      </c>
      <c r="B63" s="29" t="s">
        <v>1977</v>
      </c>
      <c r="C63" s="28" t="s">
        <v>326</v>
      </c>
      <c r="D63" s="30" t="s">
        <v>310</v>
      </c>
    </row>
    <row r="64" spans="1:4">
      <c r="A64" s="29" t="s">
        <v>1862</v>
      </c>
      <c r="B64" s="29" t="s">
        <v>1978</v>
      </c>
      <c r="C64" s="28" t="s">
        <v>326</v>
      </c>
      <c r="D64" s="30" t="s">
        <v>310</v>
      </c>
    </row>
    <row r="65" spans="1:4">
      <c r="A65" s="29" t="s">
        <v>1863</v>
      </c>
      <c r="B65" s="29" t="s">
        <v>1979</v>
      </c>
      <c r="C65" s="28" t="s">
        <v>326</v>
      </c>
      <c r="D65" s="30" t="s">
        <v>310</v>
      </c>
    </row>
    <row r="66" spans="1:4">
      <c r="A66" s="29" t="s">
        <v>1864</v>
      </c>
      <c r="B66" s="29" t="s">
        <v>1980</v>
      </c>
      <c r="C66" s="28" t="s">
        <v>326</v>
      </c>
      <c r="D66" s="30" t="s">
        <v>310</v>
      </c>
    </row>
    <row r="67" spans="1:4">
      <c r="A67" s="29" t="s">
        <v>1865</v>
      </c>
      <c r="B67" s="29" t="s">
        <v>1981</v>
      </c>
      <c r="C67" s="28" t="s">
        <v>326</v>
      </c>
      <c r="D67" s="30" t="s">
        <v>310</v>
      </c>
    </row>
    <row r="68" spans="1:4">
      <c r="A68" s="29" t="s">
        <v>1866</v>
      </c>
      <c r="B68" s="29" t="s">
        <v>1982</v>
      </c>
      <c r="C68" s="28" t="s">
        <v>326</v>
      </c>
      <c r="D68" s="30" t="s">
        <v>310</v>
      </c>
    </row>
    <row r="69" spans="1:4">
      <c r="A69" s="29" t="s">
        <v>1867</v>
      </c>
      <c r="B69" s="29" t="s">
        <v>1983</v>
      </c>
      <c r="C69" s="28" t="s">
        <v>326</v>
      </c>
      <c r="D69" s="30" t="s">
        <v>310</v>
      </c>
    </row>
    <row r="70" spans="1:4">
      <c r="A70" s="29" t="s">
        <v>1876</v>
      </c>
      <c r="B70" s="29" t="s">
        <v>1984</v>
      </c>
      <c r="C70" s="28" t="s">
        <v>326</v>
      </c>
      <c r="D70" s="30" t="s">
        <v>310</v>
      </c>
    </row>
    <row r="71" spans="1:4">
      <c r="A71" s="29" t="s">
        <v>1877</v>
      </c>
      <c r="B71" s="29" t="s">
        <v>1985</v>
      </c>
      <c r="C71" s="28" t="s">
        <v>326</v>
      </c>
      <c r="D71" s="30" t="s">
        <v>310</v>
      </c>
    </row>
    <row r="72" spans="1:4">
      <c r="A72" s="29" t="s">
        <v>460</v>
      </c>
      <c r="B72" s="29" t="s">
        <v>467</v>
      </c>
      <c r="C72" s="28" t="s">
        <v>327</v>
      </c>
      <c r="D72" s="30" t="s">
        <v>310</v>
      </c>
    </row>
    <row r="73" spans="1:4">
      <c r="A73" s="29" t="s">
        <v>462</v>
      </c>
      <c r="B73" s="29" t="s">
        <v>468</v>
      </c>
      <c r="C73" s="28" t="s">
        <v>327</v>
      </c>
      <c r="D73" s="30" t="s">
        <v>310</v>
      </c>
    </row>
    <row r="74" spans="1:4">
      <c r="A74" s="29" t="s">
        <v>464</v>
      </c>
      <c r="B74" s="29" t="s">
        <v>469</v>
      </c>
      <c r="C74" s="28" t="s">
        <v>327</v>
      </c>
      <c r="D74" s="30" t="s">
        <v>310</v>
      </c>
    </row>
    <row r="75" spans="1:4">
      <c r="A75" s="29" t="s">
        <v>466</v>
      </c>
      <c r="B75" s="29" t="s">
        <v>470</v>
      </c>
      <c r="C75" s="28" t="s">
        <v>327</v>
      </c>
      <c r="D75" s="30" t="s">
        <v>310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B1:W1"/>
  <sheetViews>
    <sheetView workbookViewId="0">
      <selection activeCell="A2" sqref="A2:XFD2"/>
    </sheetView>
  </sheetViews>
  <sheetFormatPr defaultRowHeight="15"/>
  <cols>
    <col min="1" max="2" width="9.140625" style="366"/>
    <col min="3" max="3" width="17.42578125" style="366" customWidth="1"/>
    <col min="4" max="16384" width="9.140625" style="366"/>
  </cols>
  <sheetData>
    <row r="1" spans="2:23">
      <c r="B1" s="366" t="s">
        <v>2000</v>
      </c>
      <c r="C1" s="366" t="s">
        <v>331</v>
      </c>
      <c r="D1" s="366" t="s">
        <v>36</v>
      </c>
      <c r="E1" s="366" t="s">
        <v>2001</v>
      </c>
      <c r="F1" s="366" t="s">
        <v>2002</v>
      </c>
      <c r="G1" s="366" t="s">
        <v>2003</v>
      </c>
      <c r="H1" s="366" t="s">
        <v>2004</v>
      </c>
      <c r="I1" s="366" t="s">
        <v>2005</v>
      </c>
      <c r="J1" s="366" t="s">
        <v>2006</v>
      </c>
      <c r="K1" s="366" t="s">
        <v>37</v>
      </c>
      <c r="L1" s="366" t="s">
        <v>2007</v>
      </c>
      <c r="M1" s="366" t="s">
        <v>2008</v>
      </c>
      <c r="N1" s="366" t="s">
        <v>484</v>
      </c>
      <c r="O1" s="366" t="s">
        <v>345</v>
      </c>
      <c r="P1" s="366" t="s">
        <v>485</v>
      </c>
      <c r="Q1" s="366" t="s">
        <v>2009</v>
      </c>
      <c r="R1" s="366" t="s">
        <v>38</v>
      </c>
      <c r="S1" s="366" t="s">
        <v>2010</v>
      </c>
      <c r="T1" s="366" t="s">
        <v>2011</v>
      </c>
      <c r="U1" s="366" t="s">
        <v>2012</v>
      </c>
      <c r="V1" s="366" t="s">
        <v>2013</v>
      </c>
      <c r="W1" s="366" t="s">
        <v>2014</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dimension ref="B1:T1"/>
  <sheetViews>
    <sheetView workbookViewId="0">
      <selection activeCell="A5" sqref="A2:XFD5"/>
    </sheetView>
  </sheetViews>
  <sheetFormatPr defaultRowHeight="15"/>
  <cols>
    <col min="1" max="16384" width="9.140625" style="366"/>
  </cols>
  <sheetData>
    <row r="1" spans="2:20">
      <c r="B1" s="366" t="s">
        <v>2000</v>
      </c>
      <c r="C1" s="366" t="s">
        <v>331</v>
      </c>
      <c r="D1" s="366" t="s">
        <v>40</v>
      </c>
      <c r="E1" s="366" t="s">
        <v>2001</v>
      </c>
      <c r="F1" s="366" t="s">
        <v>2002</v>
      </c>
      <c r="G1" s="366" t="s">
        <v>2003</v>
      </c>
      <c r="H1" s="366" t="s">
        <v>2004</v>
      </c>
      <c r="I1" s="366" t="s">
        <v>2005</v>
      </c>
      <c r="J1" s="366" t="s">
        <v>2006</v>
      </c>
      <c r="K1" s="366" t="s">
        <v>2007</v>
      </c>
      <c r="L1" s="366" t="s">
        <v>2008</v>
      </c>
      <c r="M1" s="366" t="s">
        <v>2010</v>
      </c>
      <c r="N1" s="366" t="s">
        <v>2011</v>
      </c>
      <c r="O1" s="366" t="s">
        <v>2012</v>
      </c>
      <c r="P1" s="366" t="s">
        <v>2013</v>
      </c>
      <c r="Q1" s="366" t="s">
        <v>2060</v>
      </c>
      <c r="R1" s="366" t="s">
        <v>38</v>
      </c>
      <c r="S1" s="366" t="s">
        <v>36</v>
      </c>
      <c r="T1" s="366" t="s">
        <v>37</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dimension ref="B1:W1"/>
  <sheetViews>
    <sheetView workbookViewId="0">
      <selection activeCell="E8" sqref="E8"/>
    </sheetView>
  </sheetViews>
  <sheetFormatPr defaultRowHeight="15"/>
  <cols>
    <col min="1" max="1" width="9.140625" style="366"/>
    <col min="2" max="2" width="16.85546875" style="366" customWidth="1"/>
    <col min="3" max="3" width="15" style="366" customWidth="1"/>
    <col min="4" max="16384" width="9.140625" style="366"/>
  </cols>
  <sheetData>
    <row r="1" spans="2:23">
      <c r="B1" s="366" t="s">
        <v>2000</v>
      </c>
      <c r="C1" s="366" t="s">
        <v>331</v>
      </c>
      <c r="D1" s="366" t="s">
        <v>36</v>
      </c>
      <c r="E1" s="366" t="s">
        <v>2001</v>
      </c>
      <c r="F1" s="366" t="s">
        <v>2002</v>
      </c>
      <c r="G1" s="366" t="s">
        <v>2003</v>
      </c>
      <c r="H1" s="366" t="s">
        <v>2004</v>
      </c>
      <c r="I1" s="366" t="s">
        <v>2005</v>
      </c>
      <c r="J1" s="366" t="s">
        <v>2006</v>
      </c>
      <c r="K1" s="366" t="s">
        <v>37</v>
      </c>
      <c r="L1" s="366" t="s">
        <v>2007</v>
      </c>
      <c r="M1" s="366" t="s">
        <v>2008</v>
      </c>
      <c r="N1" s="366" t="s">
        <v>484</v>
      </c>
      <c r="O1" s="366" t="s">
        <v>345</v>
      </c>
      <c r="P1" s="366" t="s">
        <v>485</v>
      </c>
      <c r="Q1" s="366" t="s">
        <v>2009</v>
      </c>
      <c r="R1" s="366" t="s">
        <v>2010</v>
      </c>
      <c r="S1" s="366" t="s">
        <v>2011</v>
      </c>
      <c r="T1" s="366" t="s">
        <v>2012</v>
      </c>
      <c r="U1" s="366" t="s">
        <v>2013</v>
      </c>
      <c r="V1" s="366" t="s">
        <v>2014</v>
      </c>
      <c r="W1" s="366" t="s">
        <v>38</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sheetPr codeName="Sheet5"/>
  <dimension ref="B1:E10"/>
  <sheetViews>
    <sheetView showGridLines="0" workbookViewId="0">
      <selection activeCell="F18" sqref="F18"/>
    </sheetView>
  </sheetViews>
  <sheetFormatPr defaultRowHeight="12.75"/>
  <cols>
    <col min="1" max="1" width="1.140625" customWidth="1"/>
    <col min="2" max="2" width="64.42578125" customWidth="1"/>
    <col min="3" max="3" width="1.5703125" customWidth="1"/>
    <col min="4" max="4" width="5.5703125" customWidth="1"/>
    <col min="5" max="5" width="16" customWidth="1"/>
  </cols>
  <sheetData>
    <row r="1" spans="2:5" ht="38.25">
      <c r="B1" s="77" t="s">
        <v>596</v>
      </c>
      <c r="C1" s="78"/>
      <c r="D1" s="83"/>
      <c r="E1" s="83"/>
    </row>
    <row r="2" spans="2:5">
      <c r="B2" s="77" t="s">
        <v>597</v>
      </c>
      <c r="C2" s="78"/>
      <c r="D2" s="83"/>
      <c r="E2" s="83"/>
    </row>
    <row r="3" spans="2:5">
      <c r="B3" s="79"/>
      <c r="C3" s="79"/>
      <c r="D3" s="84"/>
      <c r="E3" s="84"/>
    </row>
    <row r="4" spans="2:5" ht="38.25">
      <c r="B4" s="80" t="s">
        <v>598</v>
      </c>
      <c r="C4" s="79"/>
      <c r="D4" s="84"/>
      <c r="E4" s="84"/>
    </row>
    <row r="5" spans="2:5">
      <c r="B5" s="79"/>
      <c r="C5" s="79"/>
      <c r="D5" s="84"/>
      <c r="E5" s="84"/>
    </row>
    <row r="6" spans="2:5">
      <c r="B6" s="77" t="s">
        <v>599</v>
      </c>
      <c r="C6" s="78"/>
      <c r="D6" s="83"/>
      <c r="E6" s="85" t="s">
        <v>600</v>
      </c>
    </row>
    <row r="7" spans="2:5" ht="13.5" thickBot="1">
      <c r="B7" s="79"/>
      <c r="C7" s="79"/>
      <c r="D7" s="84"/>
      <c r="E7" s="84"/>
    </row>
    <row r="8" spans="2:5" ht="39" thickBot="1">
      <c r="B8" s="81" t="s">
        <v>601</v>
      </c>
      <c r="C8" s="82"/>
      <c r="D8" s="86"/>
      <c r="E8" s="87">
        <v>54</v>
      </c>
    </row>
    <row r="9" spans="2:5">
      <c r="B9" s="79"/>
      <c r="C9" s="79"/>
      <c r="D9" s="84"/>
      <c r="E9" s="84"/>
    </row>
    <row r="10" spans="2:5">
      <c r="B10" s="79"/>
      <c r="C10" s="79"/>
      <c r="D10" s="84"/>
      <c r="E10"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QSP_AAB Overview</vt:lpstr>
      <vt:lpstr>QSG Overview</vt:lpstr>
      <vt:lpstr>Release History</vt:lpstr>
      <vt:lpstr>Main</vt:lpstr>
      <vt:lpstr>QSP_AAB Structure Details</vt:lpstr>
      <vt:lpstr>558_Prod_PJ_Changes</vt:lpstr>
      <vt:lpstr>QSGCOMPAT</vt:lpstr>
      <vt:lpstr>AABCOMPAT</vt:lpstr>
      <vt:lpstr>QSPCOMPAT</vt:lpstr>
      <vt:lpstr>Compatibility Report</vt:lpstr>
    </vt:vector>
  </TitlesOfParts>
  <Company>Cummins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 Douglas</dc:creator>
  <cp:lastModifiedBy>jw397</cp:lastModifiedBy>
  <cp:lastPrinted>2011-06-01T20:50:36Z</cp:lastPrinted>
  <dcterms:created xsi:type="dcterms:W3CDTF">2010-01-07T15:16:32Z</dcterms:created>
  <dcterms:modified xsi:type="dcterms:W3CDTF">2012-09-04T21:45:57Z</dcterms:modified>
</cp:coreProperties>
</file>